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ugoa\Desktop\Projeto_Usabilidade\Análise de Tarefas\"/>
    </mc:Choice>
  </mc:AlternateContent>
  <xr:revisionPtr revIDLastSave="0" documentId="13_ncr:1_{B5A41A87-6B3D-47B9-AB85-0455EDCD17A0}" xr6:coauthVersionLast="47" xr6:coauthVersionMax="47" xr10:uidLastSave="{00000000-0000-0000-0000-000000000000}"/>
  <bookViews>
    <workbookView xWindow="-120" yWindow="-120" windowWidth="29040" windowHeight="15720" tabRatio="759" firstSheet="4" activeTab="9" xr2:uid="{00000000-000D-0000-FFFF-FFFF00000000}"/>
  </bookViews>
  <sheets>
    <sheet name="Grupos e Características" sheetId="8" r:id="rId1"/>
    <sheet name="Representativas" sheetId="14" r:id="rId2"/>
    <sheet name="Consultor" sheetId="2" r:id="rId3"/>
    <sheet name="Con Tarefas Representativas" sheetId="12" r:id="rId4"/>
    <sheet name="Service Line" sheetId="4" r:id="rId5"/>
    <sheet name="SL Tarefas Representativas" sheetId="9" r:id="rId6"/>
    <sheet name="Talent Manager" sheetId="6" r:id="rId7"/>
    <sheet name="TM Tarefas Representativas" sheetId="10" r:id="rId8"/>
    <sheet name="Administrador Gestor" sheetId="5" r:id="rId9"/>
    <sheet name="AG Tarefas Representativa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8" i="14" l="1"/>
  <c r="B192" i="14"/>
  <c r="B197" i="14"/>
  <c r="B201" i="14"/>
  <c r="B206" i="14"/>
  <c r="B211" i="14"/>
  <c r="B215" i="14"/>
  <c r="B17" i="9"/>
  <c r="B54" i="14"/>
  <c r="B59" i="14"/>
  <c r="B65" i="14"/>
  <c r="B69" i="14"/>
  <c r="B79" i="14"/>
  <c r="B83" i="14"/>
  <c r="B88" i="14"/>
  <c r="B93" i="14"/>
  <c r="B98" i="14"/>
  <c r="B105" i="14"/>
  <c r="B111" i="14"/>
  <c r="B115" i="14"/>
  <c r="B120" i="14"/>
  <c r="B126" i="14"/>
  <c r="B131" i="14"/>
  <c r="B25" i="14"/>
  <c r="B30" i="14"/>
  <c r="B35" i="14"/>
  <c r="B41" i="14"/>
  <c r="B46" i="14"/>
  <c r="B2" i="14"/>
  <c r="B8" i="14"/>
  <c r="B14" i="14"/>
  <c r="B19" i="14"/>
  <c r="I67" i="4"/>
  <c r="N67" i="4"/>
  <c r="B67" i="9"/>
  <c r="B151" i="12"/>
  <c r="B144" i="12"/>
  <c r="B139" i="12"/>
  <c r="B133" i="12"/>
  <c r="B128" i="12"/>
  <c r="B124" i="12"/>
  <c r="B119" i="12"/>
  <c r="B114" i="12"/>
  <c r="B109" i="12"/>
  <c r="B105" i="12"/>
  <c r="B99" i="12"/>
  <c r="B92" i="12"/>
  <c r="B87" i="12"/>
  <c r="B80" i="12"/>
  <c r="B72" i="12"/>
  <c r="B65" i="12"/>
  <c r="B60" i="12"/>
  <c r="B55" i="12"/>
  <c r="B51" i="12"/>
  <c r="B46" i="12"/>
  <c r="B41" i="12"/>
  <c r="B37" i="12"/>
  <c r="B32" i="12"/>
  <c r="B22" i="12"/>
  <c r="B18" i="12"/>
  <c r="B13" i="12"/>
  <c r="B7" i="12"/>
  <c r="B2" i="12"/>
  <c r="B117" i="10"/>
  <c r="B110" i="10"/>
  <c r="B103" i="10"/>
  <c r="B98" i="10"/>
  <c r="B93" i="10"/>
  <c r="B87" i="10"/>
  <c r="B82" i="10"/>
  <c r="B76" i="10"/>
  <c r="B71" i="10"/>
  <c r="B66" i="10"/>
  <c r="B62" i="10"/>
  <c r="B57" i="10"/>
  <c r="B52" i="10"/>
  <c r="B47" i="10"/>
  <c r="B42" i="10"/>
  <c r="B36" i="10"/>
  <c r="B31" i="10"/>
  <c r="B26" i="10"/>
  <c r="B20" i="10"/>
  <c r="B8" i="10"/>
  <c r="B2" i="10"/>
  <c r="N2" i="4"/>
  <c r="B84" i="9"/>
  <c r="B80" i="9"/>
  <c r="B76" i="9"/>
  <c r="B72" i="9"/>
  <c r="B63" i="9"/>
  <c r="B59" i="9"/>
  <c r="B55" i="9"/>
  <c r="B51" i="9"/>
  <c r="B47" i="9"/>
  <c r="B43" i="9"/>
  <c r="B39" i="9"/>
  <c r="B34" i="9"/>
  <c r="B30" i="9"/>
  <c r="B27" i="9"/>
  <c r="B22" i="9"/>
  <c r="B13" i="9"/>
  <c r="B8" i="9"/>
  <c r="B2" i="9"/>
  <c r="N84" i="4"/>
  <c r="N80" i="4"/>
  <c r="N76" i="4"/>
  <c r="N72" i="4"/>
  <c r="N63" i="4"/>
  <c r="N59" i="4"/>
  <c r="N55" i="4"/>
  <c r="N51" i="4"/>
  <c r="N47" i="4"/>
  <c r="N43" i="4"/>
  <c r="N39" i="4"/>
  <c r="N34" i="4"/>
  <c r="N30" i="4"/>
  <c r="N27" i="4"/>
  <c r="N22" i="4"/>
  <c r="N17" i="4"/>
  <c r="N13" i="4"/>
  <c r="N8" i="4"/>
  <c r="I59" i="4"/>
  <c r="I63" i="4"/>
  <c r="I76" i="4"/>
  <c r="I84" i="4"/>
  <c r="I55" i="4"/>
  <c r="I80" i="4"/>
  <c r="I72" i="4"/>
  <c r="I51" i="4"/>
  <c r="I47" i="4"/>
  <c r="I43" i="4"/>
  <c r="I39" i="4"/>
  <c r="I34" i="4"/>
  <c r="I30" i="4"/>
  <c r="I27" i="4"/>
  <c r="I22" i="4"/>
  <c r="I17" i="4"/>
  <c r="I13" i="4"/>
  <c r="I8" i="4"/>
  <c r="I2" i="4"/>
  <c r="N151" i="2"/>
  <c r="N144" i="2"/>
  <c r="N139" i="2"/>
  <c r="N133" i="2"/>
  <c r="N128" i="2"/>
  <c r="N124" i="2"/>
  <c r="N119" i="2"/>
  <c r="N114" i="2"/>
  <c r="N109" i="2"/>
  <c r="N105" i="2"/>
  <c r="N99" i="2"/>
  <c r="N92" i="2"/>
  <c r="N87" i="2"/>
  <c r="N80" i="2"/>
  <c r="N72" i="2"/>
  <c r="N65" i="2"/>
  <c r="N60" i="2"/>
  <c r="N55" i="2"/>
  <c r="N51" i="2"/>
  <c r="N46" i="2"/>
  <c r="N41" i="2"/>
  <c r="N37" i="2"/>
  <c r="N32" i="2"/>
  <c r="N22" i="2"/>
  <c r="N18" i="2"/>
  <c r="N13" i="2"/>
  <c r="N7" i="2"/>
  <c r="N2" i="2"/>
  <c r="I73" i="5"/>
  <c r="I67" i="5"/>
  <c r="I61" i="5"/>
  <c r="I56" i="5"/>
  <c r="I50" i="5"/>
  <c r="I46" i="5"/>
  <c r="I40" i="5"/>
  <c r="I34" i="5"/>
  <c r="I29" i="5"/>
  <c r="I23" i="5"/>
  <c r="I14" i="5"/>
  <c r="I8" i="5"/>
  <c r="I2" i="5"/>
  <c r="I32" i="2"/>
  <c r="I37" i="2"/>
  <c r="I41" i="2"/>
  <c r="I46" i="2"/>
  <c r="I51" i="2"/>
  <c r="I55" i="2"/>
  <c r="I60" i="2"/>
  <c r="I65" i="2"/>
  <c r="I72" i="2"/>
  <c r="I80" i="2"/>
  <c r="I87" i="2"/>
  <c r="I92" i="2"/>
  <c r="I99" i="2"/>
  <c r="I105" i="2"/>
  <c r="I109" i="2"/>
  <c r="I114" i="2"/>
  <c r="I119" i="2"/>
  <c r="I124" i="2"/>
  <c r="I128" i="2"/>
  <c r="I133" i="2"/>
  <c r="I139" i="2"/>
  <c r="I144" i="2"/>
  <c r="I151" i="2"/>
  <c r="N76" i="6"/>
  <c r="N62" i="6"/>
  <c r="N26" i="6"/>
  <c r="N31" i="6"/>
  <c r="N42" i="6"/>
  <c r="N47" i="6"/>
  <c r="N52" i="6"/>
  <c r="N57" i="6"/>
  <c r="N66" i="6"/>
  <c r="N71" i="6"/>
  <c r="N82" i="6"/>
  <c r="N98" i="6"/>
  <c r="N93" i="6"/>
  <c r="N117" i="6"/>
  <c r="N110" i="6"/>
  <c r="N103" i="6"/>
  <c r="N87" i="6"/>
  <c r="N36" i="6"/>
  <c r="N20" i="6"/>
  <c r="N14" i="6"/>
  <c r="N8" i="6"/>
  <c r="N2" i="6"/>
  <c r="I62" i="6"/>
  <c r="I87" i="6"/>
  <c r="I76" i="6"/>
  <c r="I36" i="6"/>
  <c r="I14" i="6"/>
  <c r="I117" i="6"/>
  <c r="I110" i="6"/>
  <c r="I103" i="6"/>
  <c r="I98" i="6"/>
  <c r="I93" i="6"/>
  <c r="I82" i="6"/>
  <c r="I71" i="6"/>
  <c r="I66" i="6"/>
  <c r="I57" i="6"/>
  <c r="I52" i="6"/>
  <c r="I47" i="6"/>
  <c r="I42" i="6"/>
  <c r="I31" i="6"/>
  <c r="I26" i="6"/>
  <c r="I20" i="6"/>
  <c r="I8" i="6"/>
  <c r="I2" i="6"/>
  <c r="I22" i="2"/>
  <c r="I18" i="2"/>
  <c r="I13" i="2"/>
  <c r="I2" i="2"/>
  <c r="I7" i="2"/>
</calcChain>
</file>

<file path=xl/sharedStrings.xml><?xml version="1.0" encoding="utf-8"?>
<sst xmlns="http://schemas.openxmlformats.org/spreadsheetml/2006/main" count="3927" uniqueCount="1005">
  <si>
    <t>P1 - Quem vai utilizar o sistema</t>
  </si>
  <si>
    <t>Consultores</t>
  </si>
  <si>
    <t>Service Line (SL)</t>
  </si>
  <si>
    <t>Talent Manager (TM)</t>
  </si>
  <si>
    <t>Administrador</t>
  </si>
  <si>
    <t>Profissional operacional e técnico em desenvolvimento</t>
  </si>
  <si>
    <t>Especialista sénior com domínio técnico profundo da sua área</t>
  </si>
  <si>
    <t>Profissional em desenvolvimento humano</t>
  </si>
  <si>
    <t>Profissional capaz de gerir tudo o que acontece no programa</t>
  </si>
  <si>
    <t>Focado em aprender, evoluir e certificar competências</t>
  </si>
  <si>
    <t>Experiência em liderança e mentoria técnica</t>
  </si>
  <si>
    <t>Experiência em formação, RH e acompanhamento de carreiras</t>
  </si>
  <si>
    <t>Experiente em coordenação técnica e governança digital</t>
  </si>
  <si>
    <t>Atua diretamente em projetos práticos</t>
  </si>
  <si>
    <t>Responsável por validar e orientar o desenvolvimento na sua área</t>
  </si>
  <si>
    <t>Avalia competências e evidências de forma transversal</t>
  </si>
  <si>
    <t>Garante segurança, organização e conformidade com o RGPD</t>
  </si>
  <si>
    <t>Experiência variável e em crescimento</t>
  </si>
  <si>
    <t>Mantém os padrões de qualidade e coerência da área</t>
  </si>
  <si>
    <t>Promove planos de evolução profissional</t>
  </si>
  <si>
    <t>Define regras, permissões e fluxos na plataforma</t>
  </si>
  <si>
    <t>Valoriza feedback, reconhecimento e progressão</t>
  </si>
  <si>
    <t xml:space="preserve">Tem uma visão estratégica e técnica </t>
  </si>
  <si>
    <t>Foco na coerência, equidade e valorização do colaborador</t>
  </si>
  <si>
    <t>Atua com visão global e foco na eficiência operacional</t>
  </si>
  <si>
    <t>Pouca experiência na área que pretende obter certificados</t>
  </si>
  <si>
    <t>Muita experiência na sua área</t>
  </si>
  <si>
    <t>Trabalhador experiente</t>
  </si>
  <si>
    <t>Muita experiência na Softinsa (alto escalão)</t>
  </si>
  <si>
    <t>Pouco a médio conhecimento interno da Softinsa</t>
  </si>
  <si>
    <t>Grande conhecimento interno da Softinsa</t>
  </si>
  <si>
    <t>Conhecimento interno muito grande da Softinsa</t>
  </si>
  <si>
    <t>Forma de comunicação mais descontraída</t>
  </si>
  <si>
    <t>Forma de comunicação formal</t>
  </si>
  <si>
    <t>Muito tempo disponível</t>
  </si>
  <si>
    <t>Pouco tempo disponível</t>
  </si>
  <si>
    <t>Tarefas Atuais</t>
  </si>
  <si>
    <t>Tarefas Desejáveis</t>
  </si>
  <si>
    <t>Tarefas Integradas</t>
  </si>
  <si>
    <t>Aprendizagem</t>
  </si>
  <si>
    <t xml:space="preserve">Local realização das tarefas </t>
  </si>
  <si>
    <t>Dados Comuns/Pessoais</t>
  </si>
  <si>
    <t>Outros Instrumentos</t>
  </si>
  <si>
    <t>Comunicação</t>
  </si>
  <si>
    <t>Frequência (1-MTO,...,4-POUCO)</t>
  </si>
  <si>
    <t>Restriçoes de Tempo (limite tempo?/tempo estimado?)</t>
  </si>
  <si>
    <t>Quando algo corre mal...</t>
  </si>
  <si>
    <t>Dificuldade  (1-MTO,...,4-POUCO)</t>
  </si>
  <si>
    <t>T1. Garantir que tem acesso à informação</t>
  </si>
  <si>
    <t>T1.1. Identificar a informação a que quer aceder</t>
  </si>
  <si>
    <t>Fica a saber dos procedimentos de autorização e permissões de acesso</t>
  </si>
  <si>
    <t>Qualquer lugar com acesso à internet</t>
  </si>
  <si>
    <t>Pessoais</t>
  </si>
  <si>
    <t>computador, telemóvel</t>
  </si>
  <si>
    <t>sim</t>
  </si>
  <si>
    <t>não</t>
  </si>
  <si>
    <t>Confirmar que a informação existe e, se persistir a falha, falar com um superior ou administrador</t>
  </si>
  <si>
    <t>T1.2. Fornecer os dados necessários para ter acesso a essa informação</t>
  </si>
  <si>
    <t>Aprende sobre a navegação inicial e utilização do sistema de informação</t>
  </si>
  <si>
    <t>Verificar se os dados foram recebidos; se não, pedir confirmação ao administrador</t>
  </si>
  <si>
    <t>T1.3. Validar que os dados estão corretos</t>
  </si>
  <si>
    <t>Desenvolve hábitos de acesso seguro</t>
  </si>
  <si>
    <t>Solicitar verificação dos dados submetidos ao administrador</t>
  </si>
  <si>
    <t>T1.4. Aceder à informação</t>
  </si>
  <si>
    <t>Sabe se sem acesso à informação necessária</t>
  </si>
  <si>
    <t>Falar com um superior ou administrador para restaurar o acesso</t>
  </si>
  <si>
    <t>Comuns</t>
  </si>
  <si>
    <t>Falar com o responsável de formação para confirmar critérios</t>
  </si>
  <si>
    <t>Falar com o administrador para atualizar a lista geral</t>
  </si>
  <si>
    <t>Progresso até ao momento</t>
  </si>
  <si>
    <t>T3.4. Escolher um curso</t>
  </si>
  <si>
    <t>T4. Saber como está a ser a evolução do seu conhecimento</t>
  </si>
  <si>
    <t>T4.1. Identificar onde pode consultar informação sobre o seu progresso de aprendizagem</t>
  </si>
  <si>
    <t>Informação sobre o seu progresso de aprendizagem</t>
  </si>
  <si>
    <t>Reportar falha no acesso aos registos.</t>
  </si>
  <si>
    <t>T4.2. Distinguir as diferentes áreas de conhecimento ou percursos de aprendizagem que está a realizar</t>
  </si>
  <si>
    <t>Falar com o Talent Manager se as áreas estiverem incorretas</t>
  </si>
  <si>
    <t>T4.3 Analisar o progresso realizado e reconhecer o que já foi aprendido em cada área</t>
  </si>
  <si>
    <t>Solicitar atualização dos dados de progresso ao superior</t>
  </si>
  <si>
    <t>T5. Demonstrar competências adquiridas</t>
  </si>
  <si>
    <t>T5.1 Identificar a competência que pretende ver reconhecida</t>
  </si>
  <si>
    <t>Confirmar que a candidatura foi recebida; se não, falar com o Talent Manager</t>
  </si>
  <si>
    <t>T5.2 Compreender os critérios necessários para o reconhecimento dessa competência</t>
  </si>
  <si>
    <t>Fica a saber os critérios necessários para um dado badge</t>
  </si>
  <si>
    <t>Pedir esclarecimento sobre os critérios aplicados</t>
  </si>
  <si>
    <t>T5.3 Reunir provas que evidenciem o domínio da competência</t>
  </si>
  <si>
    <t>computador, telemóvel, documentos, digitalizador</t>
  </si>
  <si>
    <t>Falar com o Talent Manager para confirmar receção das evidências</t>
  </si>
  <si>
    <t>T5.4 Organizar e preparar as evidências para avaliação</t>
  </si>
  <si>
    <t>Solicitar nova análise das evidências</t>
  </si>
  <si>
    <t>T5.5 Solicitar a avaliação da competência por parte dos responsáveis</t>
  </si>
  <si>
    <t>Falar com o administrador se o pedido não avançar</t>
  </si>
  <si>
    <t>T5.6 Aguardar o resultado da avaliação</t>
  </si>
  <si>
    <t>Pedir atualização sobre o estado do processo</t>
  </si>
  <si>
    <t>T5.7 Tomar conhecimento do resultado da avaliação (aprovação ou rejeição)</t>
  </si>
  <si>
    <t>Sabe se o seu pedido foi aprovado ou não e porquê</t>
  </si>
  <si>
    <t>Solicitar revisão do resultado junto do Talent Manager</t>
  </si>
  <si>
    <t>T5.8 Confirmar que a competência reconhecida está refletida no seu registo de percurso</t>
  </si>
  <si>
    <t>Confirmar atualização no registo e, se faltar, falar com o administrador</t>
  </si>
  <si>
    <t>Partilhar competência</t>
  </si>
  <si>
    <t>T5.9 Partilhar competência</t>
  </si>
  <si>
    <t>Pedir apoio do superior</t>
  </si>
  <si>
    <t>Falar com o superior para confirmar se o pedido foi registado</t>
  </si>
  <si>
    <t>Contactar o administrador para corrigir duplicações ou ausências</t>
  </si>
  <si>
    <t>T6.3 Analisar o estado atual de cada pedido.</t>
  </si>
  <si>
    <t>Toma conhecimento do estado do seu pedido</t>
  </si>
  <si>
    <t>Confirmar com o Talent Manager o estado do pedido</t>
  </si>
  <si>
    <t>T6.4 Reconhecer eventuais alterações ou atualizações nos pedidos efetuados.</t>
  </si>
  <si>
    <t>Toma conhecimento do progresso do estado do seu pedido</t>
  </si>
  <si>
    <t>Avisar o administrador se não houver atualizações</t>
  </si>
  <si>
    <t>Solicitar ao Talent Manager verificação dos resultados</t>
  </si>
  <si>
    <t>Reportar erro de listagem ao administrador</t>
  </si>
  <si>
    <t>Objetivos e competências de cada badge</t>
  </si>
  <si>
    <t>Requisitos de cada badge</t>
  </si>
  <si>
    <t>T9. Saber o que precisa de saber para obter uma competência</t>
  </si>
  <si>
    <t>T9.1 Identificar a competência desejada</t>
  </si>
  <si>
    <t>Informar o administrador que a competência não aparece</t>
  </si>
  <si>
    <t>T9.2 Verificar os requisitos necessários para a competência</t>
  </si>
  <si>
    <t>Requisitos necessários para a competência</t>
  </si>
  <si>
    <t>Confirmar requisitos com o Talent Manager</t>
  </si>
  <si>
    <t>T9.3 Conferir badges ou evidências obrigatórias</t>
  </si>
  <si>
    <t>Fica a conhecer os badges ou evidências associadas à competência em causa</t>
  </si>
  <si>
    <t>Pedir nova validação das evidências</t>
  </si>
  <si>
    <t>T9.4 Avaliar o progresso em relação aos requisitos</t>
  </si>
  <si>
    <t>Progresso para um dado requisito</t>
  </si>
  <si>
    <t>Contactar o superior para atualizar o progresso</t>
  </si>
  <si>
    <t>T10. Saber se as competências estão de acordo com os requisitos legais</t>
  </si>
  <si>
    <t>T10.1 Identificar os requisitos legais aplicáveis</t>
  </si>
  <si>
    <t>Avisar o administrador de falha na validação legal</t>
  </si>
  <si>
    <t>T10.2 Analisar os requisitos legais</t>
  </si>
  <si>
    <t>Requisitos legais</t>
  </si>
  <si>
    <t>Pedir ao superior revisão dos requisitos legais</t>
  </si>
  <si>
    <t>T10.3 Confirmar conformidade com os requisitos legais</t>
  </si>
  <si>
    <t>Confirmar com o administrador a conformidade corrigida</t>
  </si>
  <si>
    <t>T11. Informar outros da competência adquirida no Linkdin</t>
  </si>
  <si>
    <t>T11.1 Selecionar a competência adquirida</t>
  </si>
  <si>
    <t>Contactar o administrador</t>
  </si>
  <si>
    <t>T11.2 Preparar a comunicação da competência</t>
  </si>
  <si>
    <t>Pedir correção dos dados associados</t>
  </si>
  <si>
    <t>T11.3 Confirmar autorização para divulgação</t>
  </si>
  <si>
    <t>Fica a saber o que precisa de autorizar para partilhar o badge</t>
  </si>
  <si>
    <t>Confirmar com o superior a autorização para partilha</t>
  </si>
  <si>
    <t>T11.4 Partilhar a competência numa rede profissional</t>
  </si>
  <si>
    <t>Toma conhecimento da partilha do badge</t>
  </si>
  <si>
    <t>Solicitar nova partilha após validação</t>
  </si>
  <si>
    <t>T12. Informar outros da competência adquirida por email</t>
  </si>
  <si>
    <t>T12.1 Selecionar a competência adquirida</t>
  </si>
  <si>
    <t>Avisar o administrador se o badge não aparecer</t>
  </si>
  <si>
    <t>T12.2 Preparar a comunicação da competência</t>
  </si>
  <si>
    <t>Pedir correção dos dados exibidos</t>
  </si>
  <si>
    <t>T12.3 Confirmar autorização para divulgação</t>
  </si>
  <si>
    <t>Confirmar autorização de uso</t>
  </si>
  <si>
    <t>T12.4 Efetuar a partilha do badge na assinatura de email</t>
  </si>
  <si>
    <t>Toma conhecimento da partilha do badge na assinatura de email</t>
  </si>
  <si>
    <t>Contactar o superior se o erro persistir</t>
  </si>
  <si>
    <t>T13. Consultar e acompanhar os pontos obtidos pelas badges conquistadas</t>
  </si>
  <si>
    <t>T13.1 Identificar os pontos obtidos pelas conquistas</t>
  </si>
  <si>
    <t>Quantos pontos obteve pelas suas conquistas até ao momento</t>
  </si>
  <si>
    <t>Falar com o administrador para rever a pontuação</t>
  </si>
  <si>
    <t>T13.2 Consultar o total de pontos acumulados</t>
  </si>
  <si>
    <t>Total de pontos</t>
  </si>
  <si>
    <t>Solicitar recálculo do total de pontos</t>
  </si>
  <si>
    <t>T13.3 Verificar os pontos de cada conquista individual</t>
  </si>
  <si>
    <t>Confirmar valores de cada conquista</t>
  </si>
  <si>
    <t>T13.4 Observar metas ou marcos atingidos</t>
  </si>
  <si>
    <t>Toma conhecimento dos objetivos definidos e do seu progresso</t>
  </si>
  <si>
    <t>Reportar metas não atualizadas</t>
  </si>
  <si>
    <t>T13.5 Reconhecer recompensas ou níveis associados</t>
  </si>
  <si>
    <t>Fica a saber as recompensas por um dado objetivo</t>
  </si>
  <si>
    <t>Falar com o superior sobre recompensas em falta</t>
  </si>
  <si>
    <t>T13.6 Utilizar os pontos para avaliar o progresso pessoal</t>
  </si>
  <si>
    <t>Progresso feito até ao momento</t>
  </si>
  <si>
    <t>Pedir atualização do registo de pontos</t>
  </si>
  <si>
    <t>T14. Obter e visualizar badges de conquistas especiais</t>
  </si>
  <si>
    <t>T14.1 Identificar conquistas especiais disponíveis</t>
  </si>
  <si>
    <t>Que conquistas especiais estão disponíveis</t>
  </si>
  <si>
    <t>Informar o administrador sobre conquistas não visíveis</t>
  </si>
  <si>
    <t>T14.2 Analisar os requisitos de cada conquista especial</t>
  </si>
  <si>
    <t>Requisitos de cada conquista</t>
  </si>
  <si>
    <t>Falar com o Talent Manager para rever requisitos</t>
  </si>
  <si>
    <t>T14.3 Submeter evidências necessárias</t>
  </si>
  <si>
    <t>Confirmar receção das evidências</t>
  </si>
  <si>
    <t>T14.4 Acompanhar a validação das conquistas</t>
  </si>
  <si>
    <t>Pedir atualização do estado da validação</t>
  </si>
  <si>
    <t>T14.5 Consultar o resultado da validação</t>
  </si>
  <si>
    <t>Resultado/estado do seu pedido</t>
  </si>
  <si>
    <t>Solicitar revisão do resultado ao superior</t>
  </si>
  <si>
    <t>T14.6 Registrar a conquista especial</t>
  </si>
  <si>
    <t>Confirmar registo da conquista</t>
  </si>
  <si>
    <t>T14.7 Partilhar a conquista especial</t>
  </si>
  <si>
    <t>Pedir validação da partilha</t>
  </si>
  <si>
    <t>T15. Saber como está a evolução do seu conhecimento</t>
  </si>
  <si>
    <t>T15.1 Identificar o progresso atual de aprendizagem</t>
  </si>
  <si>
    <t>Progresso na sua aprendizagem</t>
  </si>
  <si>
    <t>Falar com o administrador para corrigir dados errados</t>
  </si>
  <si>
    <t>T15.2 Avaliar o número de conquistas obtidas</t>
  </si>
  <si>
    <t>Solicitar atualização das conquistas</t>
  </si>
  <si>
    <t>T15.3 Reconhecer as competências desenvolvidas e as em falta</t>
  </si>
  <si>
    <t>Badges que ainda precisa de obter</t>
  </si>
  <si>
    <t>Confirmar com o superior competências em falta</t>
  </si>
  <si>
    <t>T15.4 Comparar o progresso com os objetivos definidos</t>
  </si>
  <si>
    <t>Fica a saber se o nível de trabalho e tempo investido é suficiente para concluir os objetivos</t>
  </si>
  <si>
    <t>Pedir revisão do alinhamento com objetivos</t>
  </si>
  <si>
    <t>T15.5 Analisar a evolução ao longo do tempo</t>
  </si>
  <si>
    <t>Aprende quando é mais produtivo</t>
  </si>
  <si>
    <t>Avisar o administrador de erro nas datas</t>
  </si>
  <si>
    <t>Gerar relatório com progresso, cursos conluídos e badges</t>
  </si>
  <si>
    <t>T15.6 Gerar relatório com progresso, cursos conluídos e badges</t>
  </si>
  <si>
    <t>Fica a par do progresso geral até ao momento</t>
  </si>
  <si>
    <t>Solicitar novo relatório gerado</t>
  </si>
  <si>
    <t>T16. Obter reconhecimento por atingir objetivos</t>
  </si>
  <si>
    <t>T16.1 Identificar os objetivos alcançados</t>
  </si>
  <si>
    <t>Sabe que conclui um objetivo e qual</t>
  </si>
  <si>
    <t>Falar com o superior se o marco não for registado</t>
  </si>
  <si>
    <t>T16.2 Confirmar o reconhecimento das conquistas</t>
  </si>
  <si>
    <t>Pedir confirmação do reconhecimento</t>
  </si>
  <si>
    <t>T16.3 Registar o marco obtido</t>
  </si>
  <si>
    <t>Solicitar registo do marco alcançado</t>
  </si>
  <si>
    <t>T16.4 Partilhar o progresso alcançado</t>
  </si>
  <si>
    <t>Confirmar autorização para divulgação</t>
  </si>
  <si>
    <t>T17. Saber que competências pode ou deve adquirir com competências adquiridas</t>
  </si>
  <si>
    <t>T17.1 Identificar as competências já adquiridas</t>
  </si>
  <si>
    <t>Sabe que competências possui atualmente</t>
  </si>
  <si>
    <t>Contactar o administrador se as competências não aparecerem</t>
  </si>
  <si>
    <t>T17.2 Consultar recomendações baseadas nas competências obtidas</t>
  </si>
  <si>
    <t>Fica a conhecer novos caminhos de aprendizagem ou novas competências</t>
  </si>
  <si>
    <t>Solicitar atualização das recomendações</t>
  </si>
  <si>
    <t>Receber recomendações com base no histórico.</t>
  </si>
  <si>
    <t>T17.3 Receber recomendações com base no histórico.</t>
  </si>
  <si>
    <t>Pedir revisão das sugestões automáticas</t>
  </si>
  <si>
    <t>T17.3 Analisar as competências disponíveis que dependem das anteriores</t>
  </si>
  <si>
    <t>T17.4 Analisar as competências disponíveis que dependem das anteriores</t>
  </si>
  <si>
    <t>Aprende a dar seguimentos à sua formação</t>
  </si>
  <si>
    <t>Falar com o superior sobre dependências incorretas</t>
  </si>
  <si>
    <t>T17.4 Avaliar os requisitos e níveis seguintes de desenvolvimento</t>
  </si>
  <si>
    <t>T17.5 Avaliar os requisitos e níveis seguintes de desenvolvimento</t>
  </si>
  <si>
    <t>Sabe os requisitos necessários para adquirir o novo badge/competência</t>
  </si>
  <si>
    <t>Confirmar requisitos seguintes com o Talent Manager</t>
  </si>
  <si>
    <t>T17.5 Escolher a próxima competência a adquirir</t>
  </si>
  <si>
    <t>T17.6 Escolher a próxima competência a adquirir</t>
  </si>
  <si>
    <t>Pedir apoio para definir próxima competência</t>
  </si>
  <si>
    <t>T18. Obter comprovativos de competências adquiridas</t>
  </si>
  <si>
    <t>T18.1 Identificar a competência a comprovar</t>
  </si>
  <si>
    <t>Avisar o administrador de falha na geração do comprovativo</t>
  </si>
  <si>
    <t>T18.2 Gerar o comprovativo correspondente</t>
  </si>
  <si>
    <t>Pedir nova emissão corrigida</t>
  </si>
  <si>
    <t>T18.3 Guardar o comprovativo obtido</t>
  </si>
  <si>
    <t>Fica a saber que possui um comprovativo de um dado badge</t>
  </si>
  <si>
    <t>Confirmar armazenamento seguro</t>
  </si>
  <si>
    <t>Exportar comprovativo e badges para serviços externos (ex: repositório github)</t>
  </si>
  <si>
    <t>T18.4 Exportar comprovativo e badges para serviços externos (ex: repositório github)</t>
  </si>
  <si>
    <t>Solicitar nova exportação para serviços externos</t>
  </si>
  <si>
    <t>T18.4 Partilhar o comprovativo quando necessário</t>
  </si>
  <si>
    <t>T18.5 Partilhar o comprovativo quando necessário</t>
  </si>
  <si>
    <t>Confirmar entrega com o superior</t>
  </si>
  <si>
    <t>T19. Obter feedback sobre candidaturas a competências</t>
  </si>
  <si>
    <t>T19.1 Submeter a candidatura a uma competência</t>
  </si>
  <si>
    <t>Falar com o Talent Manager se a submissão não aparecer</t>
  </si>
  <si>
    <t>T19.2 Receber e verificar o estado da candidatura</t>
  </si>
  <si>
    <t>Estado da candidatura</t>
  </si>
  <si>
    <t>Pedir atualização do estado da candidatura</t>
  </si>
  <si>
    <t>T19.3 Consultar o feedback recebido</t>
  </si>
  <si>
    <t>Motivo da rejeição ou outro feedback</t>
  </si>
  <si>
    <t>Solicitar revisão do feedback recebido</t>
  </si>
  <si>
    <t>T20. Obter feedback sobre o estado de aprovação/rejeição</t>
  </si>
  <si>
    <t>T20.1 Identificar o estado de cada candidatura</t>
  </si>
  <si>
    <t>Falar com o superior se o estado não mudar</t>
  </si>
  <si>
    <t>T20.2 Consultar o feedback associado</t>
  </si>
  <si>
    <t>Feedback do service line ou talent manager</t>
  </si>
  <si>
    <t>Pedir feedback detalhado</t>
  </si>
  <si>
    <t>T20.3 Analisar comentários de rejeição, se existirem</t>
  </si>
  <si>
    <t>Fica a saber o que precisa de melhorar</t>
  </si>
  <si>
    <t>Solicitar explicação da rejeição</t>
  </si>
  <si>
    <t>T20.4 Preparar correções ou melhorias quando aplicável</t>
  </si>
  <si>
    <t>Contactar o administrador para nova avaliação</t>
  </si>
  <si>
    <t>T21. Saber quando uma competência vai expirar</t>
  </si>
  <si>
    <t>T21.1 Identificar competências com validade limitada</t>
  </si>
  <si>
    <t>Que badges vão expirar</t>
  </si>
  <si>
    <t>Avisar o administrador se não houver aviso de expiração</t>
  </si>
  <si>
    <t>T21.2 Consultar a data de expiração de cada competência</t>
  </si>
  <si>
    <t>Data de expiração</t>
  </si>
  <si>
    <t>Pedir correção das datas registadas</t>
  </si>
  <si>
    <t>T21.3 Planear ações para renovar ou concluir antes do prazo</t>
  </si>
  <si>
    <t>Confirmar plano de renovação com o superior</t>
  </si>
  <si>
    <t>Solicitar ativação de notificações</t>
  </si>
  <si>
    <t>T22. Obter informações sobre competências a adquirir</t>
  </si>
  <si>
    <t>T22.1 Receber lembretes sobre competências pendentes</t>
  </si>
  <si>
    <t>Passa a saber que competências tem pendentes</t>
  </si>
  <si>
    <t>Falar com o administrador se não receber lembretes</t>
  </si>
  <si>
    <t>T22.2 Consultar as informações dos lembretes recebidos</t>
  </si>
  <si>
    <t>Relembra-se da informação de cada competência</t>
  </si>
  <si>
    <t>Pedir reenvio dos lembretes pendentes</t>
  </si>
  <si>
    <t>T22.3 Retomar o desenvolvimento das competências indicadas</t>
  </si>
  <si>
    <t>Confirmar atualização do progresso manual</t>
  </si>
  <si>
    <t>T22.4 Atualizar o progresso conforme o avanço realizado</t>
  </si>
  <si>
    <t>Solicitar correção dos registos atualizados</t>
  </si>
  <si>
    <t>T23. Informar outros da competência adquirida no email</t>
  </si>
  <si>
    <t>T23.1 Identificar as conquistas disponíveis para apresentação</t>
  </si>
  <si>
    <t>Avisar o administrador de conquistas não listadas</t>
  </si>
  <si>
    <t>T23.2 Selecionar as conquistas a incluir na comunicação por email</t>
  </si>
  <si>
    <t>Pedir atualização da seleção</t>
  </si>
  <si>
    <t>T23.3 Guardar a configuração final</t>
  </si>
  <si>
    <t>Sabe como ficou configurado o seu email</t>
  </si>
  <si>
    <t>Confirmar gravação correta com o superior</t>
  </si>
  <si>
    <t>T24. Informar outros da competência adquirida</t>
  </si>
  <si>
    <t>T24.1 Identificar as conquistas disponíveis para divulgação</t>
  </si>
  <si>
    <t>Sabe que badges estão disponíveis para serem divulgados publicamente</t>
  </si>
  <si>
    <t>Reportar erro na listagem de conquistas</t>
  </si>
  <si>
    <t>T24.2 Organizar as conquistas numa apresentação pública</t>
  </si>
  <si>
    <t>Solicitar reorganização dos dados exibidos</t>
  </si>
  <si>
    <t>T24.3 Confirmar as informações exibidas de cada conquista</t>
  </si>
  <si>
    <t>Confirmar informações corrigidas</t>
  </si>
  <si>
    <t>T24.4 Partilhar o conjunto de conquistas em meios externos, se desejado</t>
  </si>
  <si>
    <t>Falar com o administrador para nova partilha</t>
  </si>
  <si>
    <t>T25. Informação específica de cada badge no site da Softinsa</t>
  </si>
  <si>
    <t>T25.1 Identificar a conquista sobre a qual se pretende obter mais informação</t>
  </si>
  <si>
    <t>Avisar o superior se a conquista não aparecer</t>
  </si>
  <si>
    <t>T25.2 Consultar a descrição detalhada da conquista</t>
  </si>
  <si>
    <t>Toma conhecimento de todos os detalhes sobre uma dada conquista</t>
  </si>
  <si>
    <t>Pedir atualização da descrição</t>
  </si>
  <si>
    <t>T25.3 Analisar as competências associadas e os respetivos objetivos</t>
  </si>
  <si>
    <t>Toma conhecimento dos objetivos e competências desse badge</t>
  </si>
  <si>
    <t>Confirmar competências associadas com o Talent Manager</t>
  </si>
  <si>
    <t>T25.4 Verificar os requisitos e evidências necessários para a obtenção</t>
  </si>
  <si>
    <t>Sabe quais são os requisitos e se os cumpre</t>
  </si>
  <si>
    <t>Solicitar revisão dos requisitos</t>
  </si>
  <si>
    <t>T25.5 Confirmar a validade e possíveis atualizações da informação apresentada</t>
  </si>
  <si>
    <t>Confirmar data da última atualização</t>
  </si>
  <si>
    <t>T26. Obter garantia da validade da competência adquirida</t>
  </si>
  <si>
    <t>T26.1 Identificar a competência cuja validade se pretende confirmar</t>
  </si>
  <si>
    <t>Falar com o administrador se a competência não constar</t>
  </si>
  <si>
    <t>T26.2 Verificar a existência de certificação ou validação oficial</t>
  </si>
  <si>
    <t>Validade daquela competência ou badge</t>
  </si>
  <si>
    <t>Pedir nova certificação ao Talent Manager</t>
  </si>
  <si>
    <t>T26.3 Confirmar a autenticidade da competência através de fonte reconhecida</t>
  </si>
  <si>
    <t>Passa a saber que a badge é fidedigna</t>
  </si>
  <si>
    <t>Solicitar confirmação de autenticidade</t>
  </si>
  <si>
    <t>T26.4 Assegurar que a competência permanece válida e atualizada</t>
  </si>
  <si>
    <t>Sabe de forma segura que o badge está atualizado</t>
  </si>
  <si>
    <t>Confirmar atualização da validade com o administrador</t>
  </si>
  <si>
    <t>T27. Ter informação específica sobre cada competência adquirida</t>
  </si>
  <si>
    <t>T27.1 Identificar a competência adquirida a analisar</t>
  </si>
  <si>
    <t>Avisar o administrador sobre falha de acesso</t>
  </si>
  <si>
    <t>T27.2 Consultar a descrição detalhada da competência</t>
  </si>
  <si>
    <t>Sabe em que consiste cada competência</t>
  </si>
  <si>
    <t>Pedir documento detalhado atualizado</t>
  </si>
  <si>
    <t>T27.3 Verificar as competências e objetivos associados</t>
  </si>
  <si>
    <t>Competências e objetivos associados</t>
  </si>
  <si>
    <t>Solicitar revisão das associações de competências</t>
  </si>
  <si>
    <t>T27.4 Analisar os requisitos e evidências necessários para a aquisição</t>
  </si>
  <si>
    <t>Requisitos necessários</t>
  </si>
  <si>
    <t>T27.5 Confirmar a validade e atualidade da informação disponível</t>
  </si>
  <si>
    <t>Falar com o superior</t>
  </si>
  <si>
    <t>Solicitar validação ou revisão da competência a um supervisor</t>
  </si>
  <si>
    <t>T27.6 Solicitar validação ou revisão da competência a um supervisor</t>
  </si>
  <si>
    <t>Pedir nova validação ao supervisor</t>
  </si>
  <si>
    <t>T28. Visualizar competências da Softinsa</t>
  </si>
  <si>
    <t>T28.1 Identificar todas as competências disponíveis</t>
  </si>
  <si>
    <t>Toma conhecimento de todas as competências existentes (que pode explorar)</t>
  </si>
  <si>
    <t>Falar com o administrador se o catálogo estiver incompleto</t>
  </si>
  <si>
    <t>T28.2 Consultar a descrição de cada competência</t>
  </si>
  <si>
    <t>Solicitar atualização das descrições</t>
  </si>
  <si>
    <t>T28.3 Analisar os objetivos e competências associadas</t>
  </si>
  <si>
    <t>Confirmar correção dos objetivos</t>
  </si>
  <si>
    <t>T28.4 Verificar os requisitos para aquisição de cada competência</t>
  </si>
  <si>
    <t>Sabe os requisitos e se os cumpre</t>
  </si>
  <si>
    <t>Pedir ao superior revisão dos requisitos</t>
  </si>
  <si>
    <t>Tarefas Actuais</t>
  </si>
  <si>
    <t>Dificuldade</t>
  </si>
  <si>
    <t>computador,telemóvel</t>
  </si>
  <si>
    <t>Não</t>
  </si>
  <si>
    <t>Identifica a oferta formativa diretamente relevante para as competências da sua equipa</t>
  </si>
  <si>
    <t>Descobre oportunidades de formação interdisciplinar para os membros da sua equipa</t>
  </si>
  <si>
    <t>Aprende a localizar rapidamente formação para responder a uma necessidade específica da equipa</t>
  </si>
  <si>
    <t>T2. Acompanhar o progresso da equipa</t>
  </si>
  <si>
    <t>T2.1. Ver o progresso geral de todos os consultores da equipa</t>
  </si>
  <si>
    <t>Obtém uma visão de conjunto sobre o estado de desenvolvimento da sua equipa</t>
  </si>
  <si>
    <t>Pedir atualização dos dados de progresso ao administrador</t>
  </si>
  <si>
    <t>T2.2. Analisar o percurso individual de um consultor</t>
  </si>
  <si>
    <t>Conhece o percurso individual de cada colaborador, identificando pontos fortes e áreas que necessitam de apoio</t>
  </si>
  <si>
    <t>Solicitar revisão do percurso do consultor ao administrador</t>
  </si>
  <si>
    <t>T2.3. Comparar o desempenho entre os consultores da equipa</t>
  </si>
  <si>
    <t>Identifica os consultores com melhor desempenho para efeitos de reconhecimento e motivação</t>
  </si>
  <si>
    <t>Reportar dados de desempenho incorretos ao administrador</t>
  </si>
  <si>
    <t>T2.4. Verificar em tempo real o estado dos pedidos de badges pendentes</t>
  </si>
  <si>
    <t>Toma conhecimento do volume de trabalho pendente e da proatividade da equipa em submeter novas candidaturas</t>
  </si>
  <si>
    <t>Confirmar estado dos pedidos pendentes com o administrador</t>
  </si>
  <si>
    <t>T3. Verificar o estado dos pedidos de badges</t>
  </si>
  <si>
    <t>T3.1. Consultar os pedidos em andamento na sua equipa</t>
  </si>
  <si>
    <t>Toma conhecimento do volume de candidaturas ativas na sua equipa</t>
  </si>
  <si>
    <t>Informar administrador sobre pedidos em falta</t>
  </si>
  <si>
    <t>T3.2. Identificar o estado atual de um pedido específico</t>
  </si>
  <si>
    <t>Fica a saber em que fase do processo de validação se encontra uma candidatura específica</t>
  </si>
  <si>
    <t>Confirmar estado do pedido com o administrador</t>
  </si>
  <si>
    <t>T3.3. Acompanhar as mudanças de estado de um pedido ao longo do tempo</t>
  </si>
  <si>
    <t>Compreende a progressão de uma candidatura e identifica possíveis atrasos no fluxo de validação</t>
  </si>
  <si>
    <t>Solicitar revisão do histórico de estados ao administrador</t>
  </si>
  <si>
    <t>T4. Consultar o histórico de badges da equipa</t>
  </si>
  <si>
    <t>T4.1. Analisar o histórico de toda a equipa para ter uma visão de conjunto</t>
  </si>
  <si>
    <t>Obtém uma visão agregada da evolução da equipa, identificando padrões de desenvolvimento coletivo</t>
  </si>
  <si>
    <t>Solicitar histórico geral correto ao administrador</t>
  </si>
  <si>
    <t>T4.2. Analisar o percurso individual de um consultor</t>
  </si>
  <si>
    <t>Conhece em detalhe o percurso de um colaborador, analisando o seu ritmo e as competências adquiridas</t>
  </si>
  <si>
    <t>Pedir revisão do percurso individual ao administrador</t>
  </si>
  <si>
    <t>T4.3. Distinguir entre badges obtidos e em processo de validação</t>
  </si>
  <si>
    <t>Compreende o estado de cada badge no percurso de um consultor, distinguindo competências já validadas das que estão em fase de validação</t>
  </si>
  <si>
    <t>Reportar estado incorreto de badges ao administrador</t>
  </si>
  <si>
    <t xml:space="preserve">T4.4. Analisar o histórico com base em critérios específicos </t>
  </si>
  <si>
    <t>Aprende a segmentar a informação para realizar análises específicas e medir o impacto de iniciativas de formação ao longo do tempo</t>
  </si>
  <si>
    <t>Reportar falha nos critérios de análise ao administrador</t>
  </si>
  <si>
    <t>T5. Consultar o catálogo de badges</t>
  </si>
  <si>
    <t>T5.1. Identificar os badges disponíveis na organização</t>
  </si>
  <si>
    <t>Fica a conhecer a totalidade de credenciais e competências certificáveis dentro da empresa</t>
  </si>
  <si>
    <t>Pedir atualização da lista de badges ao administrador</t>
  </si>
  <si>
    <t>T5.2. Localizar badges relevantes para a equipa</t>
  </si>
  <si>
    <t>Aprende a localizar rapidamente os badges mais relevantes para as necessidades de desenvolvimento da sua equipa</t>
  </si>
  <si>
    <t>Reportar falha na localização de badges ao administrador</t>
  </si>
  <si>
    <t>T5.3. Compreender a descrição e os objetivos de um badge específico</t>
  </si>
  <si>
    <t>Compreende o valor e o propósito de cada badge para poder aconselhar eficazmente os seus consultores</t>
  </si>
  <si>
    <t>Solicitar correção da informação do badge ao administrador</t>
  </si>
  <si>
    <t>T5.4. Analisar dados associados a um badge para identificar tendências ou dificuldades</t>
  </si>
  <si>
    <t>Aprende a identificar os badges mais e menos procurados, o que lhe permite detetar possíveis dificuldades ou a necessidade de promover certas competências</t>
  </si>
  <si>
    <t>Pedir validação dos dados associados ao administrador</t>
  </si>
  <si>
    <t>T6. Consultar os requisitos de um badge</t>
  </si>
  <si>
    <t>T6.1. Localizar um badge de interesse</t>
  </si>
  <si>
    <t>Aprende a localizar um badge de interesse para consultar os seus detalhes</t>
  </si>
  <si>
    <t>T6.2. Analisar os requisitos para a sua obtenção</t>
  </si>
  <si>
    <t>Compreende em profundidade o que é esperado para obter o badge, capacitando-o para dar orientação precisa</t>
  </si>
  <si>
    <t>Solicitar correção dos requisitos ao administrador</t>
  </si>
  <si>
    <t>T7. Gerir a partilha do seu badge na assinatura de email</t>
  </si>
  <si>
    <t>T7.1. Escolher um badge da sua lista de conquistas para partilhar</t>
  </si>
  <si>
    <t>Reportar badge em falta ao administrador</t>
  </si>
  <si>
    <t>T7.2. Obter o conteúdo necessário para a partilha na assinatura</t>
  </si>
  <si>
    <t>Reportar falha na obtenção do conteúdo ao administrador</t>
  </si>
  <si>
    <t>T7.3. Inserir o conteúdo na configuração da sua ferramenta de email</t>
  </si>
  <si>
    <t>Sabe que o badge está agora na sua assinatura de email</t>
  </si>
  <si>
    <t>Solicitar suporte técnico ao administrador</t>
  </si>
  <si>
    <t>T8. Visualizar o sistema de pontos dos badges</t>
  </si>
  <si>
    <t>T8.1. Identificar a pontuação de cada badge da sua área</t>
  </si>
  <si>
    <t>Solicitar revisão da pontuação ao administrador</t>
  </si>
  <si>
    <t>T8.2. Comparar o valor em pontos entre diferentes badges</t>
  </si>
  <si>
    <t>Fica a conhecer o valor que a organização atribui a cada competência certificada</t>
  </si>
  <si>
    <t>Pedir validação do valor dos pontos ao administrador</t>
  </si>
  <si>
    <t>T8.3. Analisar o total de pontos acumulados pela equipa</t>
  </si>
  <si>
    <t>Aprende a interpretar a pontuação para distinguir os badges de maior e menor valor, ajudando na orientação estratégica da equipa</t>
  </si>
  <si>
    <t>Reportar totais de pontos incorretos ao administrador</t>
  </si>
  <si>
    <t>T8.4. Analisar o total de pontos de um consultor individual</t>
  </si>
  <si>
    <t>Aprende a utilizar os pontos acumulados como um indicador para medir o desempenho e o empenho de um dado consultor</t>
  </si>
  <si>
    <t>Solicitar correção dos pontos do consultor ao administrador</t>
  </si>
  <si>
    <t>T9. Visualizar os badges de conquistas especiais</t>
  </si>
  <si>
    <t>T9.1. Identificar quais são os badges de "conquista especial"</t>
  </si>
  <si>
    <t>Fica a conhecer quais são as credenciais de maior valor ou distinção disponíveis</t>
  </si>
  <si>
    <t>Solicitar esclarecimento sobre badges especiais ao administrador</t>
  </si>
  <si>
    <t>T9.2. Analisar os critérios que tornam um badge especial</t>
  </si>
  <si>
    <t>Compreende o que é necessário para obter estas conquistas e o que elas representam</t>
  </si>
  <si>
    <t>Pedir revisão dos critérios especiais ao administrador</t>
  </si>
  <si>
    <t>T9.3. Identificar os consultores da equipa que obtiveram estes badges</t>
  </si>
  <si>
    <t>Sabe que colaboradores da sua equipa que demonstraram um desempenho excecional</t>
  </si>
  <si>
    <t>Validar lista de detentores de badges com o administrador</t>
  </si>
  <si>
    <t>T10. Gerar relatórios de badges atribuídos</t>
  </si>
  <si>
    <t>T10.1. Definir os critérios para a análise dos dados</t>
  </si>
  <si>
    <t>T10.2. Obter os dados sobre os badges atribuídos</t>
  </si>
  <si>
    <t>Solicitar os dados corretos ao administrador</t>
  </si>
  <si>
    <t>T10.3.Analisar os dados para extrair conclusões sobre o desempenho</t>
  </si>
  <si>
    <t>T10.3. Analisar os dados para extrair conclusões sobre o desempenho</t>
  </si>
  <si>
    <t>Aprende a interpretar os dados para fundamentar as suas decisões estratégicas</t>
  </si>
  <si>
    <t>Reportar erros na apresentação dos dados ao administrador</t>
  </si>
  <si>
    <t>T11. Obter dados dos pedidos de badges para uso externo</t>
  </si>
  <si>
    <t>T11.1. Aceder aos dados dos pedidos de badges</t>
  </si>
  <si>
    <t>Reportar erro ao administrador</t>
  </si>
  <si>
    <t>T11.2. Guardar cópia dos dados</t>
  </si>
  <si>
    <t>T11.3. Analisar os dados</t>
  </si>
  <si>
    <t>Quantidade de pedidos de bagdes efetuados e estatísticas por consultor</t>
  </si>
  <si>
    <t>Reportar falha ao administrador</t>
  </si>
  <si>
    <t>T12. Obter dados dos badges atribuídos para uso externo</t>
  </si>
  <si>
    <t>T12.1. Aceder aos dados dos badges atribuídos</t>
  </si>
  <si>
    <t>T12.2. Guardar cópia dos dados</t>
  </si>
  <si>
    <t>T12.3. Analisar os dados</t>
  </si>
  <si>
    <t>Quantidade de pedidos de bagdes atribuídos e estatísticas por consultor</t>
  </si>
  <si>
    <t>T13. Guardar uma cópia da lista de consultores da equipa para uso externo</t>
  </si>
  <si>
    <t>T13. Obter a lista de consultores da equipa para uso externo</t>
  </si>
  <si>
    <t>T13.1 Aceder à lista de consultores da equipa</t>
  </si>
  <si>
    <t>Reportar falha na funcionalidade ao administrador</t>
  </si>
  <si>
    <t>T13.2. Guardar cópia da lista</t>
  </si>
  <si>
    <t>Solicitar correção dos formatos de ficheiro ao administrador</t>
  </si>
  <si>
    <t>T13.3 Analisar os dados</t>
  </si>
  <si>
    <t>Pedir análise do erro ao administrador</t>
  </si>
  <si>
    <t>T14. Guardar uma cópia do registo de aprovações para uso externo *</t>
  </si>
  <si>
    <t>T14. Obter o registo de aprovações para uso externo</t>
  </si>
  <si>
    <t>T14.1. Aceder ao registo de aprovações</t>
  </si>
  <si>
    <t>T14.2. Guardar cópia do registo</t>
  </si>
  <si>
    <t>Reportar falha nos critérios/filtros ao administrador</t>
  </si>
  <si>
    <t>T14.3. Analisar os dados</t>
  </si>
  <si>
    <t>T15. Guardar uma cópia do certificado de um badge</t>
  </si>
  <si>
    <t>T15. Obter o certificado de um badge</t>
  </si>
  <si>
    <t>T15.1. Localizar o badge de um consultor para o qual pretende obter o certificado</t>
  </si>
  <si>
    <t>Aprende a localizar a conquista específica de um consultor para a qual pretende gerar um certificado</t>
  </si>
  <si>
    <t>T15.2 Guardar uma cópia do certificado</t>
  </si>
  <si>
    <t>T15.3. Opcionalmente, enviar o certificado para o consultor</t>
  </si>
  <si>
    <t>Sim</t>
  </si>
  <si>
    <t>Reportar erro no envio ao administrador</t>
  </si>
  <si>
    <t>T16.1. Identificar uma candidatura pendente para validação</t>
  </si>
  <si>
    <t>T16.1. Ser informado sobre uma nova candidatura a validar</t>
  </si>
  <si>
    <t>Sabe que tem candidaturas para validar</t>
  </si>
  <si>
    <t>Informar administrador sobre candidaturas em falta</t>
  </si>
  <si>
    <t>T16.2. Analisar a candidatura, as evidências e o parecer prévio</t>
  </si>
  <si>
    <t>T16.2. Aceder à candidatura</t>
  </si>
  <si>
    <t>Solicitar dados/pareceres em falta ao administrador</t>
  </si>
  <si>
    <t>T16.3. Decidir sobre a aprovação, rejeição ou devolução da candidatura</t>
  </si>
  <si>
    <t>T16.3. Analisar a candidatura, as evidências e o parecer prévio</t>
  </si>
  <si>
    <t>Reportar falha no registo da decisão ao administrador</t>
  </si>
  <si>
    <t>T17.  Confirmar o registo das suas decisões</t>
  </si>
  <si>
    <t>T17. Confirmar o registo das suas decisões</t>
  </si>
  <si>
    <t xml:space="preserve">T17.1. Tomar a decisão final sobre um pedido </t>
  </si>
  <si>
    <t>sim (tbd)</t>
  </si>
  <si>
    <t>Reportar ao administrador a impossibilidade de validar um pedido</t>
  </si>
  <si>
    <t>T17.2. Tomar conhecimento da confirmação da sua decisão</t>
  </si>
  <si>
    <t>Fica a saber que a sua decisão foi confirmada</t>
  </si>
  <si>
    <t>Informar administrador sobre ausência de confirmação</t>
  </si>
  <si>
    <t>T17.3. Verificar que o estado da candidatura foi atualizado corretamente</t>
  </si>
  <si>
    <t>Aprende a verificar ativamente que a sua decisão foi corretamente registada, o que lhe dá segurança sobre a integridade do processo</t>
  </si>
  <si>
    <t>Reportar estado incorreto da candidatura ao administrador</t>
  </si>
  <si>
    <t>T18. Comparar o desempenho dos consultores da equipa</t>
  </si>
  <si>
    <t>T18.1. Analisar a classificação de desempenho dos consultores</t>
  </si>
  <si>
    <t>Obtém uma visão rápida da hierarquia de desempenho dentro da sua equipa</t>
  </si>
  <si>
    <t>Reportar dados de classificação incorretos ao administrador</t>
  </si>
  <si>
    <t>T18.2. Comparar a pontuação entre os consultores para identificar os melhores desempenhos</t>
  </si>
  <si>
    <t>Sabe quem são os consultores que se destacam</t>
  </si>
  <si>
    <t>T18.3. Analisar a classificação com base em critérios específicos</t>
  </si>
  <si>
    <t>Aprende a aprofundar a sua análise, obtendo insights mais específicos sobre o desempenho da equipa</t>
  </si>
  <si>
    <t>T19. Consultar o histórico de uma candidatura</t>
  </si>
  <si>
    <t>T19.1. Localizar o histórico de uma candidatura específica</t>
  </si>
  <si>
    <t>Solicitar histórico em falta ao administrador</t>
  </si>
  <si>
    <t>T19.2. Analisar a sequência de eventos do processo</t>
  </si>
  <si>
    <t>Compreende a cronologia e o fluxo de uma candidatura, identificando todos os passos dados</t>
  </si>
  <si>
    <t>Reportar erros na cronologia ao administrador</t>
  </si>
  <si>
    <t>T19.3. Analisar os comentários e as decisões de validação anteriores</t>
  </si>
  <si>
    <t>Toma conhecimento do feedback de outros para enriquecer a sua própria análise e fundamentar a sua decisão</t>
  </si>
  <si>
    <t>Pedir acesso a comentários/decisões em falta ao administrador</t>
  </si>
  <si>
    <t>T1B. Comparar o desempenho entre consultores do mesmo nível</t>
  </si>
  <si>
    <t>T1B.1. Definir um grupo de consultores de mesmo nível para comparação</t>
  </si>
  <si>
    <t>T1B.1. Aceder à função de comparação de desempenho</t>
  </si>
  <si>
    <t>Reportar falha nos critérios de comparação ao administrador</t>
  </si>
  <si>
    <t>T1B.2. Analisar as métricas de desempenho comparativas do grupo</t>
  </si>
  <si>
    <t>T1B.2. Selecionar um grupo de consultores para comparar (ex: por nível de senioridade ou área)</t>
  </si>
  <si>
    <t>Solicitar revisão dos dados comparativos ao administrador</t>
  </si>
  <si>
    <t>T1B.3. Identificar os consultores com melhor desempenho dentro do grupo</t>
  </si>
  <si>
    <t>T1B.3. Analisar as métricas de desempenho lado a lado</t>
  </si>
  <si>
    <t>Aprende a interpretar os dados comparativos para entender as diferenças do desempenho entre consultores com a mesma experiência.</t>
  </si>
  <si>
    <t>Reportar erro nas métricas ao administrador</t>
  </si>
  <si>
    <t>T1B.4. Retirar conclusões</t>
  </si>
  <si>
    <t>Toma conhecimento dos consultores que mais se destacaram no mesmo nível</t>
  </si>
  <si>
    <t>Representativas?</t>
  </si>
  <si>
    <t>T16.4. Submeter a decisão final (Aprovar/Rejeitar)</t>
  </si>
  <si>
    <t>Legenda</t>
  </si>
  <si>
    <t>Tarefas a adicionar</t>
  </si>
  <si>
    <t>Tarefas a reformular</t>
  </si>
  <si>
    <t>Dificuldade a reformular</t>
  </si>
  <si>
    <t>Dificuldade (1-MTO,...,4-POUCO)</t>
  </si>
  <si>
    <t>T1. Ter uma visão global da oferta formativa da plataforma</t>
  </si>
  <si>
    <t>Identificar e compreender em detalhe toda a oferta formativa disponível</t>
  </si>
  <si>
    <t>T1.2 Conhecer os diferentes perfis dos responsáveis pela gestão da formação</t>
  </si>
  <si>
    <t>Identificar o que fazem os diferentes responsáveis pela gestão da formação</t>
  </si>
  <si>
    <t>Confirmar perfis com administrador</t>
  </si>
  <si>
    <t>Corrigir filtros e informar o administrador</t>
  </si>
  <si>
    <t>Pedir atualização da lista ao administrador</t>
  </si>
  <si>
    <t>T1.5 Analisar conteúdos e calendários para orientar e apoiar a tomada de decisões</t>
  </si>
  <si>
    <t>Análise de conteúdos e calendários para apoiar decisões sobre formação e desenvolvimento</t>
  </si>
  <si>
    <t>Reportar falha ao administrador para revisão</t>
  </si>
  <si>
    <t>T2. Monitorização da evolução de todos os consultores da área do utilizador</t>
  </si>
  <si>
    <t>T2.1 Identificar quem são os consultores, e as suas áreas de especialização</t>
  </si>
  <si>
    <t>Solicitar confirmação dos dados ao administrador</t>
  </si>
  <si>
    <t>T2.2 Analisar métricas de desempenho, evolução em projetos, entregas concluídas e cumprimento de objetivos</t>
  </si>
  <si>
    <t>Análise de métricas de desempenho e evolução em projetos e objetivos</t>
  </si>
  <si>
    <t>Pedir atualização das métricas ao administrador</t>
  </si>
  <si>
    <t>T2.3 Identificar os pontos mais e menos fortes e competências-chave de cada consultor pendentes</t>
  </si>
  <si>
    <t>Conhecimento dos pontos fortes, fracos e competências-chave de cada consultor</t>
  </si>
  <si>
    <t>Rever competências com administrador</t>
  </si>
  <si>
    <t>T2.4 Identificar os resultados de um modo geral de uma determinada Service Line</t>
  </si>
  <si>
    <t>Interpretação dos resultados gerais de uma dada equipa para apoiar decisões fundamentadas</t>
  </si>
  <si>
    <t>Solicitar resultados corretos ao administrador</t>
  </si>
  <si>
    <t>T2.5 Reunir dados e observações para apoiar decisões</t>
  </si>
  <si>
    <t>Informar administrador dos dados incompletos</t>
  </si>
  <si>
    <t>T3. Garantia da validade de cada badge obtida</t>
  </si>
  <si>
    <t>T3.1 Identificar os badges atribuídos a cada consultor</t>
  </si>
  <si>
    <t>Validar badges com administrador</t>
  </si>
  <si>
    <t>T3.2 Compreender os critérios de atribuição de cada badge</t>
  </si>
  <si>
    <t>Conhecimento dos critérios e requisitos associados à atribuição de cada badge</t>
  </si>
  <si>
    <t>Solicitar esclarecimento dos critérios ao administrador</t>
  </si>
  <si>
    <t>T3.3 Verificar a coerência entre atributos e badges recebidos</t>
  </si>
  <si>
    <t>Reportar incoerência ao administrador</t>
  </si>
  <si>
    <t>T3.4 Avaliar a atualidade das competências associada</t>
  </si>
  <si>
    <t>Avaliação da atualidade e da relevância das competências associadas a cada badge</t>
  </si>
  <si>
    <t>Pedir revisão de competências ao administrador</t>
  </si>
  <si>
    <t>T3.5 Formular um relatório relativo à validade de badges</t>
  </si>
  <si>
    <t>Solicitar relatório atualizado ao administrador</t>
  </si>
  <si>
    <t>T4. Garantia da gestão eficiente de certificação e identificação de problemas</t>
  </si>
  <si>
    <t>T4.1 Identificar todos os pedidos de certificação da equipa</t>
  </si>
  <si>
    <t>Conhecimento de todos os pedidos de certificação submetidos pela equipa e a sua origem</t>
  </si>
  <si>
    <t>T4.2 Acompanhar o estado de cada pedido (aceite, pendente, rejeitado)</t>
  </si>
  <si>
    <t>Confirmar estado dos pedidos com administrador</t>
  </si>
  <si>
    <t>T4.3 Utilizar filtros para priorizar as análises e respostas</t>
  </si>
  <si>
    <t>Melhorar métodos de pesquisa através de filtros e critérios de prioridade que permitem  uma melhor análise e resposta aos pedidos</t>
  </si>
  <si>
    <t>Reportar falha de filtro ao administrador</t>
  </si>
  <si>
    <t>T4.4 Detetar erros, como documentação incompleta ou solicitações que não cumprem requisitos</t>
  </si>
  <si>
    <t>Deteção e correção de erros, como documentação incompleta ou solicitações fora dos requisitos</t>
  </si>
  <si>
    <t>Solicitar documentação em falta ao administrador</t>
  </si>
  <si>
    <t>T4.5 Comunicar decisões e garantir que há compreenção daquilo que é necessário</t>
  </si>
  <si>
    <t>Pedir esclarecimento ao administrador</t>
  </si>
  <si>
    <t>T5. Analisar a evolução das competências e padrões de desenvolvimento</t>
  </si>
  <si>
    <t>T5.1 Conhecer o histórico de competências e badges de cada consultor</t>
  </si>
  <si>
    <t>Melhor compreensão do histórico de competências e badges de cada consultor</t>
  </si>
  <si>
    <t>Validar histórico junto do administrador</t>
  </si>
  <si>
    <t>T5.2 Organizar a informação por consultor, badge ou período</t>
  </si>
  <si>
    <t>Corrigir organização com apoio do administrador</t>
  </si>
  <si>
    <t>T5.3 Conhecer e comparar padrões de evolução entre consultores e equipas</t>
  </si>
  <si>
    <t>Rever dados evolutivos com administrador</t>
  </si>
  <si>
    <t>T5.4 Reunir informação para avaliar a consistência e o progresso de um dado consultor ou de uma dada equipa</t>
  </si>
  <si>
    <t>Manter administrador informado de inconsistências</t>
  </si>
  <si>
    <t>T6. Análise das badges para objetivos futuros</t>
  </si>
  <si>
    <t>T6.1 Conhecer todas as badges disponíveis e respetivos detalhes</t>
  </si>
  <si>
    <t>Solicitar detalhes de badges ao administrador</t>
  </si>
  <si>
    <t>T6.2 Avaliar cada badge com descrição, requisitos e valor profissional</t>
  </si>
  <si>
    <t>Pedir confirmação do valor profissional ao administrador</t>
  </si>
  <si>
    <t>T6.3 Identificar badges que se adequem à equipa ou objetivos organizacionais</t>
  </si>
  <si>
    <t xml:space="preserve">Identificação de badges relevantes para trabalho de equipa ou trabalhos com certos objetivos </t>
  </si>
  <si>
    <t>Informar administrador sobre badges irrelevantes</t>
  </si>
  <si>
    <t>x</t>
  </si>
  <si>
    <t>T6.4 Integrar os planeamentos futuros com a análise de badges</t>
  </si>
  <si>
    <t>Incluir análise de badges no planeamento</t>
  </si>
  <si>
    <t>T7. Validação de critérios de certificação para cada badge</t>
  </si>
  <si>
    <t>T7.1 Identificar o badge em análise</t>
  </si>
  <si>
    <t>Validar badge em análise com administrador</t>
  </si>
  <si>
    <t>T7.2 Saber os critérios detalhados para atribuição do badge</t>
  </si>
  <si>
    <t>Pedir explicação dos critérios ao administrador</t>
  </si>
  <si>
    <t>T7.3 Esclarecer dúvidas e orientar os consultores</t>
  </si>
  <si>
    <t>Esclarecimento de dúvidas sobre requisitos necessários</t>
  </si>
  <si>
    <t>Consultar administrador para esclarecer dúvidas</t>
  </si>
  <si>
    <t>T7.4 Registar comunicações relativas aos requisitos para histórico</t>
  </si>
  <si>
    <t>T7.4 Registrar comunicações relativas aos requisitos para histórico</t>
  </si>
  <si>
    <t>Solicitar comunicação ausente ao administrador</t>
  </si>
  <si>
    <t>T7.5 Avaliar consistência e aplicabilidade dos critérios</t>
  </si>
  <si>
    <t>Avaliação da consistência e aplicabilidade dos critérios de forma crítica</t>
  </si>
  <si>
    <t>Rever aplicação dos critérios com administrador</t>
  </si>
  <si>
    <t>T8. Produção de relatórios analíticos de badges para gestão estratégica</t>
  </si>
  <si>
    <t>T8.1 Definir objetivos do relatório</t>
  </si>
  <si>
    <t>Definição de objetivos claros para orientar a elaboração do relatório</t>
  </si>
  <si>
    <t>Redefinir objetivos do relatório com administrador</t>
  </si>
  <si>
    <t>T8.2 Definir período e área de interesse</t>
  </si>
  <si>
    <t>Determinação de período e área de interesse a analisar, delimitando o foco do relatório</t>
  </si>
  <si>
    <t>Corrigir período/área após consulta ao administrador</t>
  </si>
  <si>
    <t>T8.3 Conhecer os dados detalhados relativos aos badges</t>
  </si>
  <si>
    <t>Pedir dados completos ao administrador</t>
  </si>
  <si>
    <t>T8.4 Preparar documentação e exportar relatório para Excel, PDF ou apresentação</t>
  </si>
  <si>
    <t>Preparação de documentação e exportação da mesma em relatórios nos formatos adequados para partilha como Excel, PDF, etc…</t>
  </si>
  <si>
    <t>Resolver exportação junto do administrador</t>
  </si>
  <si>
    <t>T9. Exportação de dados de pedidos para análise externa e integração</t>
  </si>
  <si>
    <t>T9.1 Identificar o histórico de pedidos para exportação</t>
  </si>
  <si>
    <t>Identificação do histórico de pedidos e uma análise completa e contextualizada</t>
  </si>
  <si>
    <t>Solicitar histórico atualizado ao administrador</t>
  </si>
  <si>
    <t>T9.2 Definir critérios e filtros de análise</t>
  </si>
  <si>
    <t>Rever critérios de análise com administrador</t>
  </si>
  <si>
    <t>T9.3 Preparar dados para partilha ou análise externa</t>
  </si>
  <si>
    <t>Preparação de dados de forma organizada para partilha ou análise externa</t>
  </si>
  <si>
    <t>Informar administrador sobre dados corrompidos</t>
  </si>
  <si>
    <t>T9.4 Comunicar resultados ou disponibilizar informação aos stakeholders</t>
  </si>
  <si>
    <t>Pedir novo envio de resultados ao administrador</t>
  </si>
  <si>
    <t>T10. Criação de relatórios executivos de badges atribuídos</t>
  </si>
  <si>
    <t>T10.1 Selecionar badges relevantes e critérios de análise</t>
  </si>
  <si>
    <t>Validar seleção de badges com administrador</t>
  </si>
  <si>
    <t>T10.2 Definir objetivos do relatório executivo</t>
  </si>
  <si>
    <t>Definir objetivos executivos com administrador</t>
  </si>
  <si>
    <t>10.3 Consolidar e detalhar informações sobre badges e status</t>
  </si>
  <si>
    <t xml:space="preserve">Consolidação detalhada de informações sobre badges e os respetivo status  </t>
  </si>
  <si>
    <t>Confirmar informações consolidadas junto do administrador</t>
  </si>
  <si>
    <t>10.4 Preparar relatório para comunicação formal ou análise externa</t>
  </si>
  <si>
    <t>Solicitar revisão do relatório formal ao administrador</t>
  </si>
  <si>
    <t xml:space="preserve">T11. Extração de dados de consultores para processos de gestão </t>
  </si>
  <si>
    <t>11.1 Identificar consultores sob gestão</t>
  </si>
  <si>
    <t>Validar identificação de consultores junto do administrador</t>
  </si>
  <si>
    <t>11.2 Selecionar consultores com base em dados estratégicos</t>
  </si>
  <si>
    <t>Distinção de cosultores com base em dados estratégicos e critérios de relevância</t>
  </si>
  <si>
    <t>Corrigir critérios com apoio do administrador</t>
  </si>
  <si>
    <t>11.3 Analizar e integrar as informações recolhidas</t>
  </si>
  <si>
    <t>Rever dados integrados com administrador</t>
  </si>
  <si>
    <t>11.4 Comunicar e partilhar resultados com departamentos</t>
  </si>
  <si>
    <t>Solicitar partilha de resultados ao administrador</t>
  </si>
  <si>
    <t>T12. Exportação de estatísticas de aprovações de candidaturas</t>
  </si>
  <si>
    <t>T12.1 Identificar e filtrar candidaturas aprovadas</t>
  </si>
  <si>
    <t>Pedir revisão de filtragem ao administrador</t>
  </si>
  <si>
    <t>T12.2 Organizar dados de forma clara, e realçar padrões, tendências e indicadores de desempenho da equipa</t>
  </si>
  <si>
    <t>Organização de dados de modo claro</t>
  </si>
  <si>
    <t>Validar dados de equipa com administrador</t>
  </si>
  <si>
    <t>T12.3 Preparar e partilhar relatórios para acompanhamento estratégico</t>
  </si>
  <si>
    <t>T13. Analise de dados de rejeições de candidaturas</t>
  </si>
  <si>
    <t>T13.1 Identificar candidaturas rejeitadas</t>
  </si>
  <si>
    <t>Consultar administrador para identificar rejeições</t>
  </si>
  <si>
    <t>T13.2 Analisar razões das rejeições</t>
  </si>
  <si>
    <t>Compreensão de causas e critérios aplicados</t>
  </si>
  <si>
    <t>Pedir justificação de causas ao administrador</t>
  </si>
  <si>
    <t>T13.3 Avaliar padrões e oportunidades de melhoria</t>
  </si>
  <si>
    <t>Identificar oportunidades de melhoria nos processos de candidatura</t>
  </si>
  <si>
    <t>Solicitar melhorias recomendadas ao administrador</t>
  </si>
  <si>
    <t>T13.4 Comunicar resultados para revisão de processos</t>
  </si>
  <si>
    <t>Pedir comunicação dos resultados ao administrador</t>
  </si>
  <si>
    <t>T14. Integração de badges válidos em assinatura de email</t>
  </si>
  <si>
    <t>T14.1 Identificar badges válidos para destaque</t>
  </si>
  <si>
    <t>Validar badge de destaque junto do administrador</t>
  </si>
  <si>
    <t>T14.2 Determinar forma adequada de exibição</t>
  </si>
  <si>
    <t>Forma mais adequada de exibição dos badges conforme o contexto e público</t>
  </si>
  <si>
    <t>Solicitar revisão da exibição ao administrador</t>
  </si>
  <si>
    <t>T14.3 Confirmar que os badges refletem corretamente o histórico e status do consultor</t>
  </si>
  <si>
    <t>Confirmar histórico/status dos badges com administrador</t>
  </si>
  <si>
    <t>T14.4 Comunicar orientações para utilização</t>
  </si>
  <si>
    <t>Pedir orientação detalhada ao administrador</t>
  </si>
  <si>
    <t>T15. Avaliação do empenho com programas de formação</t>
  </si>
  <si>
    <t>T15.1 Identificar indicadores de participação e progresso</t>
  </si>
  <si>
    <t>Melhor compreensão do envolvimento entre consultores</t>
  </si>
  <si>
    <t>Validar indicadores de participação junto do administrador</t>
  </si>
  <si>
    <t>T15.2 Avaliar desempenhos e evoluções das equipas</t>
  </si>
  <si>
    <t>Pedir revisão dos indicadores de desempenho</t>
  </si>
  <si>
    <t>T15.3 Planejar incentivos e reconhecimentos baseados no sistema</t>
  </si>
  <si>
    <t>T15.3 Planear incentivos e reconhecimentos baseados no sistema</t>
  </si>
  <si>
    <t>Planeamento de incentivos e reconhecimentos alinhados ao sistema de avaliação existente</t>
  </si>
  <si>
    <t>Solicitar revisão dos incentivos com administrador</t>
  </si>
  <si>
    <t>T15.4 Definir estratégias de reconhecimento e incentivo</t>
  </si>
  <si>
    <t>Pedir orientação para reconhecimento ao administrador</t>
  </si>
  <si>
    <t>T15.5 Utilizar as conclusões para orientar planos de formação</t>
  </si>
  <si>
    <t>Incluir novas conclusões após validação do administrador</t>
  </si>
  <si>
    <t>T16. Reconhecimento de talentos para melhores posições</t>
  </si>
  <si>
    <t>T16.1 Identificar badges especiais disponíveis</t>
  </si>
  <si>
    <t>Consultar administrador sobre badges especiais</t>
  </si>
  <si>
    <t>T16.2 Compreender os critérios e significados de cada badge especial</t>
  </si>
  <si>
    <t>Melhor entendimento dos  critérios e significados associados a cada badge especial</t>
  </si>
  <si>
    <t>Pedir esclarecimento dos critérios especiais</t>
  </si>
  <si>
    <t>T16.3 Avaliar consultores detentores desses badges</t>
  </si>
  <si>
    <t>Validar avaliação dos detentores com administrador</t>
  </si>
  <si>
    <t>T16.4 Propor medidas de valorização e progressão</t>
  </si>
  <si>
    <t>Solicitar aplicação das medidas ao administrador</t>
  </si>
  <si>
    <t xml:space="preserve">T17. Emissão de certificados em PDF para consultores facilitando a gestão  </t>
  </si>
  <si>
    <t>T17.1 Identificar consultores e certificados correspondentes</t>
  </si>
  <si>
    <t>Confirmar associação de certificados com administrador</t>
  </si>
  <si>
    <t>T17.2 Verificar integridade e validade das informações</t>
  </si>
  <si>
    <t>Validar informações certificadas com administrador</t>
  </si>
  <si>
    <t>T17.3 Emitir e formalizar certificados</t>
  </si>
  <si>
    <t>Pedir apoio ao administrador para formalizar certificados</t>
  </si>
  <si>
    <t>T17.4 Organizar e arquivar documentação</t>
  </si>
  <si>
    <t>Organização e arquivamento de documentação de forma segura e acessível</t>
  </si>
  <si>
    <t>Solicitar recuperação de documentos ao administrador</t>
  </si>
  <si>
    <t>T17.5 Disponibilizar certificados para uso profissional</t>
  </si>
  <si>
    <t>Pedir disponibilização dos certificados ao administrador</t>
  </si>
  <si>
    <t>T18. Prevenção de constante verificação na plataforma</t>
  </si>
  <si>
    <t>T18.1 Estabelecer métodos de monitorização que permitam receber atualizações relevantes sem necessidade de consultas constantes</t>
  </si>
  <si>
    <t>Métodos de monitorização que garantem atualizações automáticas e relevantes</t>
  </si>
  <si>
    <t>Solicitar atualização de monitorização ao administrador</t>
  </si>
  <si>
    <t>T18.2 Implementar alertas ou rotinas de informação</t>
  </si>
  <si>
    <t>Acompanhamento proativo</t>
  </si>
  <si>
    <t>Reportar falhas de alerta ao administrador</t>
  </si>
  <si>
    <t>T18.3 Assegurar que as comunicações são recebidas e vai premitr uma ação imediata, o que reduz atrasos e aumenta a eficiência na gestão</t>
  </si>
  <si>
    <t>Pedir ação imediata ao administrador</t>
  </si>
  <si>
    <t>T18.4 Avaliar e ajustar o fluxo de informação</t>
  </si>
  <si>
    <t>Solicitar ajuste de fluxo ao administrador</t>
  </si>
  <si>
    <t>T19. Tomar imediato conhecimento sobre a aprovação/rejeição</t>
  </si>
  <si>
    <t>T19.1 Garantir que as decisões são comunicadas de forma imediata e fiável</t>
  </si>
  <si>
    <t>Garantir comunicação imediata pelo administrador</t>
  </si>
  <si>
    <t>T19.2 Monitorar respostas e agir rapidamente em pendências</t>
  </si>
  <si>
    <t>Pedir ação rápida ao administrador</t>
  </si>
  <si>
    <t>T19.3 Atualizar status e comunicar decisão aos envolvidos</t>
  </si>
  <si>
    <t>Atualização de status e comunicação de decisões a todos os envolvidos de modo transparente</t>
  </si>
  <si>
    <t>Confirmar status e decisão junto do administrador</t>
  </si>
  <si>
    <t>T19.4 Avaliar a eficácia do fluxo de comunicação e identificar oportunidades para acelerar futuras respostas</t>
  </si>
  <si>
    <t>Identificação de oportunidades de modo a acelerar futuras respostas</t>
  </si>
  <si>
    <t>Solicitar aceleração de resposta ao administrador</t>
  </si>
  <si>
    <t>T20. Monitorização de relatórios para gestão preventiva</t>
  </si>
  <si>
    <t>T20.1 Identificar badges e certificações com validade próxima</t>
  </si>
  <si>
    <t>Validar expiração badges/certificados com administrador</t>
  </si>
  <si>
    <t>T20.2 Identificar consultores afetados</t>
  </si>
  <si>
    <t>Avaliação do impacto das expirações</t>
  </si>
  <si>
    <t>Solicitar lista de consultores ao administrador</t>
  </si>
  <si>
    <t>T20.3 Avaliar urgência e priorizar ações</t>
  </si>
  <si>
    <t>Definição dde prioridades de ação para evitar falhas de validade</t>
  </si>
  <si>
    <t>Pedir definição de prioridades ao administrador</t>
  </si>
  <si>
    <t>T20.4 Estabelecer um calendário de acompanhamento e alertas antecipados</t>
  </si>
  <si>
    <t>Solicitar revisão de calendário de alertas</t>
  </si>
  <si>
    <t>T20.5 Reunir informações sobre prazos, responsáveis e ações a executar</t>
  </si>
  <si>
    <t>Pedir atualização dos prazos ao administrador</t>
  </si>
  <si>
    <t>T20.6 Gerar e exportar relatório para acompanhamento ou reuniões</t>
  </si>
  <si>
    <t>Validar relatório antes das reuniões com administrador</t>
  </si>
  <si>
    <t xml:space="preserve">T21. Acesso ao histórico detalhado garante transparência total </t>
  </si>
  <si>
    <t>T21.1 Reunir histórico completo de candidaturas</t>
  </si>
  <si>
    <t>Solicitar histórico completo ao administrador</t>
  </si>
  <si>
    <t>T21.2 Organizar dados por consultor, badge ou período</t>
  </si>
  <si>
    <t>Corrigir dados por consultor/badge junto do administrador</t>
  </si>
  <si>
    <t>T21.3 Analisar a evolução de cada candidatura</t>
  </si>
  <si>
    <t>Pedir revisão de evolução de candidatura ao administrador</t>
  </si>
  <si>
    <t>T21.4Examinar comentários, observações e fundamentos das decisões</t>
  </si>
  <si>
    <t>Pedir comentários e fundamentos ao administrador</t>
  </si>
  <si>
    <t>T21.5 Analisar comentários e justificações das avaliações realizadas</t>
  </si>
  <si>
    <t>Validar análises e justificação com administrador</t>
  </si>
  <si>
    <t>T21.6 Preparar relatórios de histórico para uma eventual consulta estratégica</t>
  </si>
  <si>
    <t>Solicitar relatório histórico ao administrador</t>
  </si>
  <si>
    <t>T1B. Estruturação de um desenvolvimento de carreira alinhado usando uma Timeline</t>
  </si>
  <si>
    <t>T1B.1 Recolher e centralizar o histórico profissional do consultor</t>
  </si>
  <si>
    <t>Pedir centralização do histórico ao administrador</t>
  </si>
  <si>
    <t>T1B.2 Selecionar consultor específico e organizar cronologicamente os eventos, conquistas e metas de crescimento</t>
  </si>
  <si>
    <t>Corrigir eventos cronológicos com administrador</t>
  </si>
  <si>
    <t>T1B.3 Definir marcos como conclusão de cursos, obtenção de badges, promoções</t>
  </si>
  <si>
    <t>Validar definição de marcos junto do administrador</t>
  </si>
  <si>
    <t>T1B.4 Visualizar a Timeline de forma interativa e dinâmica</t>
  </si>
  <si>
    <t>Pedir apoio para visualizar timeline</t>
  </si>
  <si>
    <t>T1B.5 Partilhar a timeline com o consultor para discussão de prioridades, expectativas e oportunidades de desenvolvimento</t>
  </si>
  <si>
    <t>Uma melhor noção de prioridades, expectativas e oportunidades de desenvolvimento</t>
  </si>
  <si>
    <t>Solicitar envio da timeline ao administrador</t>
  </si>
  <si>
    <t>T1B.6 Empregar os dados consolidados para apoiar decisões de progressão, formação e reconhecimento profissional</t>
  </si>
  <si>
    <t>Validar consolidação dos dados junto do administrador</t>
  </si>
  <si>
    <t>T1. Gerir utilizadores e permissões</t>
  </si>
  <si>
    <t>T1.1 Identificar uma lista atualizada de todos os utilizadores registados.</t>
  </si>
  <si>
    <t>O administrador fica a saber quem são os utilizadores e que permissões cada função necessita.</t>
  </si>
  <si>
    <t>T1.2 Idenificar os diferentes cargos disponíveis(service line, talent manager)</t>
  </si>
  <si>
    <t xml:space="preserve">T1.3 Identificar o cargo respetivo de cada elemento da lista </t>
  </si>
  <si>
    <t>T1.4  Registar alterações ou criar novos conjuntos de permissões</t>
  </si>
  <si>
    <t>T1.5 Eliminar ou desativar membros inativos</t>
  </si>
  <si>
    <t>T2. Integrar rapidamente novos colaboradores</t>
  </si>
  <si>
    <t>3.8</t>
  </si>
  <si>
    <t>T2.1 Identificar o novo utilizador</t>
  </si>
  <si>
    <t>Aprende o processo completo de integração, desde a recolha de dados até à validação final do registo.</t>
  </si>
  <si>
    <t>T2.2 Saber os dados do novo utilizador</t>
  </si>
  <si>
    <t>T2.3 Saber qual a sua função (Service Line, Talent Manager)</t>
  </si>
  <si>
    <t>T2.4 Tomar conhecimento do registo do novo utilizador</t>
  </si>
  <si>
    <t>T2.5 Validar registo do utilizador</t>
  </si>
  <si>
    <t>Criar um checklist diário das validações pendentes para não se esquecer de validar um registo</t>
  </si>
  <si>
    <t>T3.Manter o catálogo de badges atualizado</t>
  </si>
  <si>
    <t>3.125</t>
  </si>
  <si>
    <t>T3.1 Identificar todos os badges atuais</t>
  </si>
  <si>
    <t>Fica a conhecer quais badges existem, quais são pouco usados e se são necessárias novas.</t>
  </si>
  <si>
    <t>T3.2 Saber quais os possiveis novos badges</t>
  </si>
  <si>
    <t>T3.3 Saber quais dos badges atuais têm menor utilidade</t>
  </si>
  <si>
    <t>Ver lista de badges e observar os que têm menos uso</t>
  </si>
  <si>
    <t>T3.4 Confimar remoção de badge antigo</t>
  </si>
  <si>
    <t xml:space="preserve">T3.5 Confimar publicação de um novo badge </t>
  </si>
  <si>
    <t>T3.6 Saber quais são os badges disponíveis após a atualização</t>
  </si>
  <si>
    <t>Criação de um sistema de recomendação de proximos bages tendo em conta o utilizador</t>
  </si>
  <si>
    <t>T3.7 Criação de um sistema de recomendação de proximos bages tendo em conta o utilizador</t>
  </si>
  <si>
    <t>Criação de um sistema que indique as badges mais populares na devida área</t>
  </si>
  <si>
    <t>T3.8 Criação de um sistema que indique as badges mais populares na devida área</t>
  </si>
  <si>
    <t>T4. Gestão de learning paths e estrutura de formação</t>
  </si>
  <si>
    <t>2.2</t>
  </si>
  <si>
    <t>T4.1 Saber quais os Learning Paths disponibilizados</t>
  </si>
  <si>
    <t>Compreende todos os Learning Paths disponíveis e a estrutura de competências necessária para cada função na organização.</t>
  </si>
  <si>
    <t>T4.2 Saber quais os possíveis novos Learning Paths</t>
  </si>
  <si>
    <t>T4.3 Saber quais dos Learning Paths atuais têm menor utilidade</t>
  </si>
  <si>
    <t>T4.4 Definir os service lines, jornadas, níveis e requisitos dos Learning Paths</t>
  </si>
  <si>
    <t>T4.5 Remover trilhos, requisitos ou Learning Paths desatualizados</t>
  </si>
  <si>
    <t>T5. Recolha de dados da para melhor análise/partilha</t>
  </si>
  <si>
    <t>T5.1 Saber quais os dados a coletar (badges, utilizadores, pedidos)</t>
  </si>
  <si>
    <t>T5.1 Saber quais os dados a exportar (badges, utilizadores, pedidos)</t>
  </si>
  <si>
    <t>Fica a saber que informação pode obter, como filtrá-la e em que formatos exportá-la.</t>
  </si>
  <si>
    <t>Criar um modelo no Excel com as colunas padrão para não esquecer os dados que se quer guardar</t>
  </si>
  <si>
    <t>T5.2 Definir filtros e colunas de exportação</t>
  </si>
  <si>
    <t>T5.3 Fazer a recolha ou enviar por email para grupos específicos</t>
  </si>
  <si>
    <t>Relatórios automatizados e agendados enviados para os gestores.</t>
  </si>
  <si>
    <t>T5.4 Relatórios automatizados e agendados enviados para os gestores.</t>
  </si>
  <si>
    <t>T6. Assegurar que os badges se mantêm atualizados e relevantes</t>
  </si>
  <si>
    <t>2.6</t>
  </si>
  <si>
    <t>T6.1 Saber quais os badges disponíveis</t>
  </si>
  <si>
    <t>Aprende sobre os sistemas de pontos mais eficazes.</t>
  </si>
  <si>
    <t>T6.2 Saber a validade dos badges</t>
  </si>
  <si>
    <t>T6.3 Saber quais os badges que estão prestes a expirar</t>
  </si>
  <si>
    <t>Fazer um lembrete para evitar a expiração de um badge</t>
  </si>
  <si>
    <t>T6.4 Identificar e atualizar os badges menos relevantes</t>
  </si>
  <si>
    <t>T6.5 Atualizar os sistemas de pontos menos funcionais e os badges associados</t>
  </si>
  <si>
    <t>T7. Manter todos os utilizadores envolvidos informados em tempo real</t>
  </si>
  <si>
    <t>T7.1 Identificar todos os utilizadores e os seus dados</t>
  </si>
  <si>
    <t>Torna-se especialista em comunicação interna, conhecendo os melhores tipos de aviso e a frequência dos mesmos.</t>
  </si>
  <si>
    <t>T7.2 Definir tipos de avisos</t>
  </si>
  <si>
    <t>T7.3 Selecionar grupos ou perfis alvos para cada tipo de aviso</t>
  </si>
  <si>
    <t>T7.4 Definir frequência de envio</t>
  </si>
  <si>
    <t>T7.5 Definir os métodos de envio conforme a informação a alertar</t>
  </si>
  <si>
    <t>T8. Catálogo de badges disponíveis com a sua descrição</t>
  </si>
  <si>
    <t>T8.1 Identificar a lista de badges</t>
  </si>
  <si>
    <t>Adquire conhecimento sobre os badges e sobre o que cada um representa.</t>
  </si>
  <si>
    <t>T8.2 Ver as badges pela categoria</t>
  </si>
  <si>
    <t>T8.3 Ver a descrição do badge</t>
  </si>
  <si>
    <t>T9. Garantir que a proteção dos dados cumpre obrigações legais</t>
  </si>
  <si>
    <t>2.8</t>
  </si>
  <si>
    <t>T9.1 Verificar conformidade com RGPD</t>
  </si>
  <si>
    <t>Aprende a regulamentação aplicável em matéria de proteção de dados e os procedimentos específicos para lhe dar cumprimento.</t>
  </si>
  <si>
    <t>T9.2 Registar e documentar incidentes de segurança</t>
  </si>
  <si>
    <t>T9.3 Ver histórico de decisões tomadas</t>
  </si>
  <si>
    <t>T9.4 Atualizar documentação legal conforme alterações legislativas</t>
  </si>
  <si>
    <t>Fazer lembretes para se lembrar de atualizar a documentação</t>
  </si>
  <si>
    <t>Painel de gestão de consentimentos, onde o utilizador pode gerir as suas permissões.</t>
  </si>
  <si>
    <t>T9.5 Painel de gestão de consentimentos, onde o utilizador pode gerir as suas permissões.</t>
  </si>
  <si>
    <t>T10. Assegurar prazos e qualidade de resposta</t>
  </si>
  <si>
    <t>2.5</t>
  </si>
  <si>
    <t>T10.1 Aceder à gestão de SLA</t>
  </si>
  <si>
    <t>Fica a saber definir e ajustar SLAs conforme as necessidades das equipas.</t>
  </si>
  <si>
    <t>Colocar um lembrete para lembrança de verificação constante</t>
  </si>
  <si>
    <t>T10.2 Estabelecer prazos mínimos/máximos para resposta das equipas Talent Management e Service Line</t>
  </si>
  <si>
    <t>T10.3 Alterar os SLA por grupo ou por pedido específico</t>
  </si>
  <si>
    <t>T10.4 Informar equipas sobre novos prazos definidos</t>
  </si>
  <si>
    <t>T11. Ser notificado de imediato caso os SLA sejam ultrapassados</t>
  </si>
  <si>
    <t>2.4</t>
  </si>
  <si>
    <t>T11.1 Definir notificações automáticas para SLA excedidos</t>
  </si>
  <si>
    <t>Fica a saber como configurar sistemas de alerta e identificar as causas de incumprimento de prazos.</t>
  </si>
  <si>
    <t>T11.2 Escolher perfis que recebem notificação (administrador, talent, service line)</t>
  </si>
  <si>
    <t>T11.3 Testar funcionamento do sistema de alertas</t>
  </si>
  <si>
    <t>T11.4 Adotar ações corretivas/analisar causas dos atrasos</t>
  </si>
  <si>
    <t>Se um alerta não for resolvido num tempo X, sobe para um nível superior de gestão.</t>
  </si>
  <si>
    <t>T11.5 Se um alerta não for resolvido num tempo X, sobe para um nível superior de gestão.</t>
  </si>
  <si>
    <t>T12. Comunicar de forma centralizada informações importantes ou mudanças</t>
  </si>
  <si>
    <t>3.2</t>
  </si>
  <si>
    <t>T12.1 Alterar informações genéricas e comunicados</t>
  </si>
  <si>
    <t>T12.1 Editar informações genéricas e comunicados</t>
  </si>
  <si>
    <t>Aprende a gerir toda a comunicação centralizada, desde a criação até ao histórico de comunicados.</t>
  </si>
  <si>
    <t>T12.2 Definir tipos de avisos (ativo/inativo)</t>
  </si>
  <si>
    <t>T12.3 Partilha de avisos</t>
  </si>
  <si>
    <t>T12.4 Gerir histórico de comunicados feitos</t>
  </si>
  <si>
    <t>Inquéritos e polls integrados nos comunicados para obter feedback.</t>
  </si>
  <si>
    <t>T12.5 Inquéritos e polls integrados nos comunicados para obter feedback.</t>
  </si>
  <si>
    <t>T1B. Notificar de imediato as equipas responsáveis quandos os prazos estão em risco</t>
  </si>
  <si>
    <t>2.75</t>
  </si>
  <si>
    <t>T1B.1 Verificar lista de SLA ultrapassados</t>
  </si>
  <si>
    <t>Desenvolve competências em gestão de crises, aprendendo a identificar e resolver rapidamente quebras de SLA.</t>
  </si>
  <si>
    <t>T1B.2 Selecionar equipa (talent/service line) envolvida</t>
  </si>
  <si>
    <t>T1B.3 Redigir e comunicar o aviso</t>
  </si>
  <si>
    <t>T1B.4 Monitorizar resposta da equipa para garantir resolução rápida</t>
  </si>
  <si>
    <t xml:space="preserve"> </t>
  </si>
  <si>
    <t>T16. Validar candidaturas a badges</t>
  </si>
  <si>
    <t>Tarefas Representativas</t>
  </si>
  <si>
    <t>Metáforas</t>
  </si>
  <si>
    <t>Sim/Não</t>
  </si>
  <si>
    <t>Talent Manager</t>
  </si>
  <si>
    <t>Consultor</t>
  </si>
  <si>
    <t>Service Line</t>
  </si>
  <si>
    <t>Administradores</t>
  </si>
  <si>
    <t>T1.2 Identificar os diferentes cargos disponíveis(service line, talent manager)</t>
  </si>
  <si>
    <t>T2. Ver os badges adequados ao seu perfil</t>
  </si>
  <si>
    <t>T7. Saber quais foram os badges em que obteve ou está para obter aprovação</t>
  </si>
  <si>
    <t>T8. Saber quais os badges que lhe podem dar competências</t>
  </si>
  <si>
    <t>T2.2. Definir as suas características para poder saber badges</t>
  </si>
  <si>
    <t>T2.3. Saber que badges se associam às suas características</t>
  </si>
  <si>
    <t>T1.1 Conhecer de forma detalhada aquilo que são os badges diponíveis</t>
  </si>
  <si>
    <t>T1.3 Filtrar ou organizar os badges por área, categoria ou nível conforme necessidade</t>
  </si>
  <si>
    <t>T1.4 Visualizar a lista completa de badges disponíveis para todos os consultores</t>
  </si>
  <si>
    <t>T1B.3 Definir marcos como conclusão de badges, obtenção de badges, promoções</t>
  </si>
  <si>
    <t>T2.1. Saber quais são os badges disponíveis</t>
  </si>
  <si>
    <t>T2.4. Escolher um ou mais badges</t>
  </si>
  <si>
    <t>T2.5 Ver se há outros badges semelhantes</t>
  </si>
  <si>
    <t>T7.1 Identificar todos os badges concluídos</t>
  </si>
  <si>
    <t>T7.2 Identificar todos os badges em progresso</t>
  </si>
  <si>
    <t>T8.1 Identificar todos os badges disponíveis</t>
  </si>
  <si>
    <t>T8.2 Selecionar badges de interesse</t>
  </si>
  <si>
    <t>T21.4 Agendar notificações periódicas sobre prazos, expirações e atualizações de badges</t>
  </si>
  <si>
    <t>T7.3 Confirmar o resultado ou estado de cada badge</t>
  </si>
  <si>
    <t>T8.3 Analisar os objetivos e competências de cada badge</t>
  </si>
  <si>
    <t>T8.4 Verificar os requisitos para cada badge</t>
  </si>
  <si>
    <t>T3.Saber que badges estão disponíveis</t>
  </si>
  <si>
    <t>T3.1. Saber a lista de todos os badges</t>
  </si>
  <si>
    <t>T3.2 Saber os badges de cada área</t>
  </si>
  <si>
    <t>T3.3 Saber os badges que já concluiu</t>
  </si>
  <si>
    <t>T6. Verificar os pedidos de badges em tempo real</t>
  </si>
  <si>
    <t>T6.1 Identificar onde pode acompanhar os pedidos de badges efetuados.</t>
  </si>
  <si>
    <t>T6.2 Distinguir os diferentes pedidos de badges realizados.</t>
  </si>
  <si>
    <t>T1. Consultar os badges da plataforma</t>
  </si>
  <si>
    <t>T1.1. Saber quais são os badges disponíveis na plataforma</t>
  </si>
  <si>
    <t>T1.2. Ver os badges específicos da sua área de serviço</t>
  </si>
  <si>
    <t>T1.3. Consultar badges de outras áreas de serviço</t>
  </si>
  <si>
    <t>T1.1 Conhecer de forma detalhada aquilo que são os badges disponíveis</t>
  </si>
  <si>
    <t>T1.4. Localizar um badge para uma necessidade específica</t>
  </si>
  <si>
    <t>T1.5. Ver a informação detalhada de um badge</t>
  </si>
  <si>
    <t>Agendar notificações periódicas sobre prazos, expirações e atualizações de badges</t>
  </si>
  <si>
    <t>Fica a saber todos os badges de diferentes áreas</t>
  </si>
  <si>
    <t>Reportar erro na listagem de badges</t>
  </si>
  <si>
    <t xml:space="preserve">Toma conhecimento em relação aos badges existentes para as suas características </t>
  </si>
  <si>
    <t>Solicitar reprocessamento da correspondência de badges</t>
  </si>
  <si>
    <t>Ver se há outros badges semelhantes</t>
  </si>
  <si>
    <t>Falar com um superior para sugerir badges equivalentes</t>
  </si>
  <si>
    <t>Fica a saber todos os badges disponíveis</t>
  </si>
  <si>
    <t>Quantidade de badges por área (oferta, etc)</t>
  </si>
  <si>
    <t>Reportar erro na associação de badges por área</t>
  </si>
  <si>
    <t>Saber os badges que já concluiu</t>
  </si>
  <si>
    <t>Falar com o Talent Manager para confirmar badges concluídos</t>
  </si>
  <si>
    <t>Fica a saber onde acompanhar os pedidos de badges efetuados</t>
  </si>
  <si>
    <t>badges concluídos</t>
  </si>
  <si>
    <t>badges em progresso</t>
  </si>
  <si>
    <t>badges disponíveis</t>
  </si>
  <si>
    <t>Falar com o superior se os badges sugeridos estiverem incorretos</t>
  </si>
  <si>
    <t>Pedir ao superior para atualizar o badge concluído</t>
  </si>
  <si>
    <t>Informar o administrador sobre badge sem progresso registado</t>
  </si>
  <si>
    <t>Pedir atualização das informações do badge</t>
  </si>
  <si>
    <t>Confirmar com o administrador os requisitos do badge</t>
  </si>
  <si>
    <t>Solicitar ajuda ao superior se não conseguir selecionar o badge pretendido</t>
  </si>
  <si>
    <t>T3.3. Escolher um badge</t>
  </si>
  <si>
    <t>T3.4. Escolher um badge</t>
  </si>
  <si>
    <t>Pedir orientação ao superior se o badge selecionado não corresponder</t>
  </si>
  <si>
    <t>Melhor conhecimento, sobre o percurso realizado até ao momento em cada badge</t>
  </si>
  <si>
    <t>Fica a saber todos os badges que a organização disponibiliza aos seus colaboradores</t>
  </si>
  <si>
    <t>Reportar erro na associação de badges à área ao administrador</t>
  </si>
  <si>
    <t>Reportar falha de acesso a badges de outras áreas ao administrador</t>
  </si>
  <si>
    <t>Compreende os objetivos e o valor de um badge para avaliar a sua adequação à equipa</t>
  </si>
  <si>
    <t>Conbadge Público</t>
  </si>
  <si>
    <t>Validar informação dos badges junto do administrador</t>
  </si>
  <si>
    <t>Distinção os badges por área, categoria ou nível conforme a necessidade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</si>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</sst>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</font>
    <font>
      <sz val="10"/>
      <color rgb="FF000000"/>
      <name val="Calibri"/>
      <family val="2"/>
    </font>
    <font>
      <sz val="10"/>
      <color theme="1" tint="0.249977111117893"/>
      <name val="Calibri"/>
      <family val="2"/>
      <scheme val="minor"/>
    </font>
    <font>
      <sz val="10"/>
      <color rgb="FFF9FAFB"/>
      <name val="Segoe U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8064A2"/>
      <name val="Calibri"/>
      <scheme val="minor"/>
    </font>
    <font>
      <sz val="12"/>
      <color rgb="FF8064A2"/>
      <name val="Calibri"/>
      <scheme val="minor"/>
    </font>
    <font>
      <sz val="12"/>
      <color rgb="FFC0504D"/>
      <name val="Calibri"/>
      <scheme val="minor"/>
    </font>
    <font>
      <sz val="12"/>
      <color rgb="FF963634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3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4" fillId="2" borderId="4" xfId="0" applyFont="1" applyFill="1" applyBorder="1" applyAlignment="1">
      <alignment horizontal="center"/>
    </xf>
    <xf numFmtId="0" fontId="5" fillId="3" borderId="4" xfId="0" applyFont="1" applyFill="1" applyBorder="1"/>
    <xf numFmtId="0" fontId="5" fillId="0" borderId="4" xfId="0" applyFont="1" applyBorder="1"/>
    <xf numFmtId="0" fontId="10" fillId="3" borderId="1" xfId="0" applyFont="1" applyFill="1" applyBorder="1"/>
    <xf numFmtId="0" fontId="10" fillId="5" borderId="1" xfId="0" applyFont="1" applyFill="1" applyBorder="1"/>
    <xf numFmtId="0" fontId="5" fillId="5" borderId="1" xfId="0" applyFont="1" applyFill="1" applyBorder="1"/>
    <xf numFmtId="0" fontId="9" fillId="0" borderId="1" xfId="0" applyFont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top"/>
    </xf>
    <xf numFmtId="0" fontId="5" fillId="6" borderId="1" xfId="0" applyFont="1" applyFill="1" applyBorder="1"/>
    <xf numFmtId="0" fontId="5" fillId="0" borderId="1" xfId="0" applyFont="1" applyBorder="1" applyAlignment="1">
      <alignment wrapText="1"/>
    </xf>
    <xf numFmtId="0" fontId="5" fillId="3" borderId="5" xfId="0" applyFont="1" applyFill="1" applyBorder="1"/>
    <xf numFmtId="0" fontId="5" fillId="3" borderId="7" xfId="0" applyFont="1" applyFill="1" applyBorder="1"/>
    <xf numFmtId="0" fontId="11" fillId="0" borderId="0" xfId="0" applyFont="1"/>
    <xf numFmtId="0" fontId="12" fillId="0" borderId="1" xfId="0" applyFont="1" applyBorder="1"/>
    <xf numFmtId="0" fontId="13" fillId="0" borderId="1" xfId="0" applyFont="1" applyBorder="1"/>
    <xf numFmtId="0" fontId="14" fillId="3" borderId="1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5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8" borderId="1" xfId="0" applyFont="1" applyFill="1" applyBorder="1"/>
    <xf numFmtId="0" fontId="0" fillId="4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</cellXfs>
  <cellStyles count="50">
    <cellStyle name="Hiperligação" xfId="35" builtinId="8" hidden="1"/>
    <cellStyle name="Hiperligação" xfId="27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21" builtinId="8" hidden="1"/>
    <cellStyle name="Hiperligação" xfId="11" builtinId="8" hidden="1"/>
    <cellStyle name="Hiperligação" xfId="5" builtinId="8" hidden="1"/>
    <cellStyle name="Hiperligação" xfId="3" builtinId="8" hidden="1"/>
    <cellStyle name="Hiperligação" xfId="1" builtinId="8" hidden="1"/>
    <cellStyle name="Hiperligação" xfId="7" builtinId="8" hidden="1"/>
    <cellStyle name="Hiperligação" xfId="19" builtinId="8" hidden="1"/>
    <cellStyle name="Hiperligação" xfId="9" builtinId="8" hidden="1"/>
    <cellStyle name="Hiperligação" xfId="33" builtinId="8" hidden="1"/>
    <cellStyle name="Hiperligação" xfId="39" builtinId="8" hidden="1"/>
    <cellStyle name="Hiperligação" xfId="41" builtinId="8" hidden="1"/>
    <cellStyle name="Hiperligação" xfId="45" builtinId="8" hidden="1"/>
    <cellStyle name="Hiperligação" xfId="47" builtinId="8" hidden="1"/>
    <cellStyle name="Hiperligação" xfId="43" builtinId="8" hidden="1"/>
    <cellStyle name="Hiperligação" xfId="37" builtinId="8" hidden="1"/>
    <cellStyle name="Hiperligação" xfId="29" builtinId="8" hidden="1"/>
    <cellStyle name="Hiperligação" xfId="31" builtinId="8" hidden="1"/>
    <cellStyle name="Hiperligação" xfId="25" builtinId="8" hidden="1"/>
    <cellStyle name="Hiperligação" xfId="23" builtinId="8" hidden="1"/>
    <cellStyle name="Hiperligação Visitada" xfId="16" builtinId="9" hidden="1"/>
    <cellStyle name="Hiperligação Visitada" xfId="12" builtinId="9" hidden="1"/>
    <cellStyle name="Hiperligação Visitada" xfId="6" builtinId="9" hidden="1"/>
    <cellStyle name="Hiperligação Visitada" xfId="2" builtinId="9" hidden="1"/>
    <cellStyle name="Hiperligação Visitada" xfId="4" builtinId="9" hidden="1"/>
    <cellStyle name="Hiperligação Visitada" xfId="24" builtinId="9" hidden="1"/>
    <cellStyle name="Hiperligação Visitada" xfId="26" builtinId="9" hidden="1"/>
    <cellStyle name="Hiperligação Visitada" xfId="30" builtinId="9" hidden="1"/>
    <cellStyle name="Hiperligação Visitada" xfId="32" builtinId="9" hidden="1"/>
    <cellStyle name="Hiperligação Visitada" xfId="34" builtinId="9" hidden="1"/>
    <cellStyle name="Hiperligação Visitada" xfId="38" builtinId="9" hidden="1"/>
    <cellStyle name="Hiperligação Visitada" xfId="28" builtinId="9" hidden="1"/>
    <cellStyle name="Hiperligação Visitada" xfId="8" builtinId="9" hidden="1"/>
    <cellStyle name="Hiperligação Visitada" xfId="10" builtinId="9" hidden="1"/>
    <cellStyle name="Hiperligação Visitada" xfId="14" builtinId="9" hidden="1"/>
    <cellStyle name="Hiperligação Visitada" xfId="36" builtinId="9" hidden="1"/>
    <cellStyle name="Hiperligação Visitada" xfId="48" builtinId="9" hidden="1"/>
    <cellStyle name="Hiperligação Visitada" xfId="44" builtinId="9" hidden="1"/>
    <cellStyle name="Hiperligação Visitada" xfId="20" builtinId="9" hidden="1"/>
    <cellStyle name="Hiperligação Visitada" xfId="22" builtinId="9" hidden="1"/>
    <cellStyle name="Hiperligação Visitada" xfId="18" builtinId="9" hidden="1"/>
    <cellStyle name="Hiperligação Visitada" xfId="42" builtinId="9" hidden="1"/>
    <cellStyle name="Hiperligação Visitada" xfId="46" builtinId="9" hidden="1"/>
    <cellStyle name="Hiperligação Visitada" xfId="40" builtinId="9" hidden="1"/>
    <cellStyle name="Normal" xfId="0" builtinId="0"/>
    <cellStyle name="Normal 2" xfId="49" xr:uid="{8227A889-FC57-4247-943C-78DCA9810C8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80ED-DDBA-475E-B0A5-821545BD460F}">
  <sheetPr>
    <tabColor theme="2"/>
  </sheetPr>
  <dimension ref="A1:D12"/>
  <sheetViews>
    <sheetView zoomScale="65" workbookViewId="0">
      <selection activeCell="B40" sqref="B40"/>
    </sheetView>
  </sheetViews>
  <sheetFormatPr defaultRowHeight="15.75" x14ac:dyDescent="0.25"/>
  <cols>
    <col min="1" max="1" width="50.875" bestFit="1" customWidth="1"/>
    <col min="2" max="2" width="57.5" bestFit="1" customWidth="1"/>
    <col min="3" max="3" width="54" bestFit="1" customWidth="1"/>
    <col min="4" max="4" width="52.75" bestFit="1" customWidth="1"/>
  </cols>
  <sheetData>
    <row r="1" spans="1:4" x14ac:dyDescent="0.25">
      <c r="A1" s="46" t="s">
        <v>0</v>
      </c>
      <c r="B1" s="46"/>
      <c r="C1" s="46"/>
      <c r="D1" s="46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2" t="s">
        <v>6</v>
      </c>
      <c r="C4" s="2" t="s">
        <v>7</v>
      </c>
      <c r="D4" t="s">
        <v>8</v>
      </c>
    </row>
    <row r="5" spans="1:4" x14ac:dyDescent="0.25">
      <c r="A5" s="2" t="s">
        <v>9</v>
      </c>
      <c r="B5" s="2" t="s">
        <v>10</v>
      </c>
      <c r="C5" s="2" t="s">
        <v>11</v>
      </c>
      <c r="D5" t="s">
        <v>12</v>
      </c>
    </row>
    <row r="6" spans="1:4" x14ac:dyDescent="0.25">
      <c r="A6" s="2" t="s">
        <v>13</v>
      </c>
      <c r="B6" s="2" t="s">
        <v>14</v>
      </c>
      <c r="C6" s="2" t="s">
        <v>15</v>
      </c>
      <c r="D6" t="s">
        <v>16</v>
      </c>
    </row>
    <row r="7" spans="1:4" x14ac:dyDescent="0.25">
      <c r="A7" s="2" t="s">
        <v>17</v>
      </c>
      <c r="B7" s="2" t="s">
        <v>18</v>
      </c>
      <c r="C7" s="2" t="s">
        <v>19</v>
      </c>
      <c r="D7" t="s">
        <v>20</v>
      </c>
    </row>
    <row r="8" spans="1:4" x14ac:dyDescent="0.25">
      <c r="A8" s="2" t="s">
        <v>21</v>
      </c>
      <c r="B8" s="2" t="s">
        <v>22</v>
      </c>
      <c r="C8" s="2" t="s">
        <v>23</v>
      </c>
      <c r="D8" t="s">
        <v>24</v>
      </c>
    </row>
    <row r="9" spans="1:4" x14ac:dyDescent="0.25">
      <c r="A9" s="2" t="s">
        <v>25</v>
      </c>
      <c r="B9" s="2" t="s">
        <v>26</v>
      </c>
      <c r="C9" s="2" t="s">
        <v>27</v>
      </c>
      <c r="D9" t="s">
        <v>28</v>
      </c>
    </row>
    <row r="10" spans="1:4" x14ac:dyDescent="0.25">
      <c r="A10" s="2" t="s">
        <v>29</v>
      </c>
      <c r="B10" s="2" t="s">
        <v>30</v>
      </c>
      <c r="C10" s="2" t="s">
        <v>30</v>
      </c>
      <c r="D10" t="s">
        <v>31</v>
      </c>
    </row>
    <row r="11" spans="1:4" x14ac:dyDescent="0.25">
      <c r="A11" s="2" t="s">
        <v>32</v>
      </c>
      <c r="B11" s="2" t="s">
        <v>33</v>
      </c>
      <c r="C11" t="s">
        <v>33</v>
      </c>
      <c r="D11" t="s">
        <v>33</v>
      </c>
    </row>
    <row r="12" spans="1:4" x14ac:dyDescent="0.25">
      <c r="A12" s="2" t="s">
        <v>34</v>
      </c>
      <c r="B12" s="2" t="s">
        <v>35</v>
      </c>
      <c r="C12" s="2" t="s">
        <v>35</v>
      </c>
      <c r="D12" s="2" t="s">
        <v>35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4B15-AEDE-444A-AF15-8EB30AD84E98}">
  <dimension ref="A1:H219"/>
  <sheetViews>
    <sheetView topLeftCell="AL167" workbookViewId="0">
      <selection activeCell="A182" sqref="A182:B186"/>
    </sheetView>
  </sheetViews>
  <sheetFormatPr defaultRowHeight="15.75" x14ac:dyDescent="0.25"/>
  <cols>
    <col min="1" max="1" width="79.75" bestFit="1" customWidth="1"/>
    <col min="3" max="3" width="27.25" bestFit="1" customWidth="1"/>
  </cols>
  <sheetData>
    <row r="1" spans="1:2" x14ac:dyDescent="0.25">
      <c r="A1" s="45" t="s">
        <v>932</v>
      </c>
      <c r="B1" s="7" t="s">
        <v>368</v>
      </c>
    </row>
    <row r="2" spans="1:2" x14ac:dyDescent="0.25">
      <c r="A2" s="7" t="s">
        <v>559</v>
      </c>
      <c r="B2" s="22">
        <f>AVERAGE(B3,B4,B5,B6,B7)</f>
        <v>1.6</v>
      </c>
    </row>
    <row r="3" spans="1:2" x14ac:dyDescent="0.25">
      <c r="A3" s="6" t="s">
        <v>968</v>
      </c>
      <c r="B3" s="21">
        <v>2</v>
      </c>
    </row>
    <row r="4" spans="1:2" x14ac:dyDescent="0.25">
      <c r="A4" s="6" t="s">
        <v>561</v>
      </c>
      <c r="B4" s="21">
        <v>2</v>
      </c>
    </row>
    <row r="5" spans="1:2" x14ac:dyDescent="0.25">
      <c r="A5" s="6" t="s">
        <v>943</v>
      </c>
      <c r="B5" s="21">
        <v>1</v>
      </c>
    </row>
    <row r="6" spans="1:2" x14ac:dyDescent="0.25">
      <c r="A6" s="6" t="s">
        <v>944</v>
      </c>
      <c r="B6" s="21">
        <v>1</v>
      </c>
    </row>
    <row r="7" spans="1:2" x14ac:dyDescent="0.25">
      <c r="A7" s="6" t="s">
        <v>566</v>
      </c>
      <c r="B7" s="21">
        <v>2</v>
      </c>
    </row>
    <row r="8" spans="1:2" x14ac:dyDescent="0.25">
      <c r="A8" s="7" t="s">
        <v>569</v>
      </c>
      <c r="B8" s="22">
        <f>AVERAGE(B9,B10,B11,B12,B13)</f>
        <v>2.4</v>
      </c>
    </row>
    <row r="9" spans="1:2" x14ac:dyDescent="0.25">
      <c r="A9" s="6" t="s">
        <v>570</v>
      </c>
      <c r="B9" s="21">
        <v>2</v>
      </c>
    </row>
    <row r="10" spans="1:2" x14ac:dyDescent="0.25">
      <c r="A10" s="6" t="s">
        <v>572</v>
      </c>
      <c r="B10" s="21">
        <v>3</v>
      </c>
    </row>
    <row r="11" spans="1:2" x14ac:dyDescent="0.25">
      <c r="A11" s="6" t="s">
        <v>575</v>
      </c>
      <c r="B11" s="21">
        <v>3</v>
      </c>
    </row>
    <row r="12" spans="1:2" x14ac:dyDescent="0.25">
      <c r="A12" s="6" t="s">
        <v>578</v>
      </c>
      <c r="B12" s="21">
        <v>2</v>
      </c>
    </row>
    <row r="13" spans="1:2" x14ac:dyDescent="0.25">
      <c r="A13" s="6" t="s">
        <v>581</v>
      </c>
      <c r="B13" s="21">
        <v>2</v>
      </c>
    </row>
    <row r="14" spans="1:2" x14ac:dyDescent="0.25">
      <c r="A14" s="7" t="s">
        <v>609</v>
      </c>
      <c r="B14" s="22">
        <f>AVERAGE(B15,B16,B17,B18)</f>
        <v>2.25</v>
      </c>
    </row>
    <row r="15" spans="1:2" x14ac:dyDescent="0.25">
      <c r="A15" s="6" t="s">
        <v>610</v>
      </c>
      <c r="B15" s="21">
        <v>2</v>
      </c>
    </row>
    <row r="16" spans="1:2" x14ac:dyDescent="0.25">
      <c r="A16" s="6" t="s">
        <v>613</v>
      </c>
      <c r="B16" s="21">
        <v>1</v>
      </c>
    </row>
    <row r="17" spans="1:2" x14ac:dyDescent="0.25">
      <c r="A17" s="6" t="s">
        <v>615</v>
      </c>
      <c r="B17" s="21">
        <v>3</v>
      </c>
    </row>
    <row r="18" spans="1:2" x14ac:dyDescent="0.25">
      <c r="A18" s="6" t="s">
        <v>617</v>
      </c>
      <c r="B18" s="21">
        <v>3</v>
      </c>
    </row>
    <row r="19" spans="1:2" x14ac:dyDescent="0.25">
      <c r="A19" s="7" t="s">
        <v>630</v>
      </c>
      <c r="B19" s="22">
        <f>AVERAGE(B20,B21,B22,B23,B24)</f>
        <v>1.8</v>
      </c>
    </row>
    <row r="20" spans="1:2" x14ac:dyDescent="0.25">
      <c r="A20" s="6" t="s">
        <v>631</v>
      </c>
      <c r="B20" s="21">
        <v>1</v>
      </c>
    </row>
    <row r="21" spans="1:2" x14ac:dyDescent="0.25">
      <c r="A21" s="6" t="s">
        <v>633</v>
      </c>
      <c r="B21" s="21">
        <v>2</v>
      </c>
    </row>
    <row r="22" spans="1:2" x14ac:dyDescent="0.25">
      <c r="A22" s="6" t="s">
        <v>635</v>
      </c>
      <c r="B22" s="21">
        <v>2</v>
      </c>
    </row>
    <row r="23" spans="1:2" x14ac:dyDescent="0.25">
      <c r="A23" s="6" t="s">
        <v>638</v>
      </c>
      <c r="B23" s="21">
        <v>1</v>
      </c>
    </row>
    <row r="24" spans="1:2" x14ac:dyDescent="0.25">
      <c r="A24" s="6" t="s">
        <v>641</v>
      </c>
      <c r="B24" s="21">
        <v>3</v>
      </c>
    </row>
    <row r="25" spans="1:2" x14ac:dyDescent="0.25">
      <c r="A25" s="7" t="s">
        <v>667</v>
      </c>
      <c r="B25" s="22">
        <f>AVERAGE(B26,B27,B28,B29)</f>
        <v>2.25</v>
      </c>
    </row>
    <row r="26" spans="1:2" x14ac:dyDescent="0.25">
      <c r="A26" s="6" t="s">
        <v>668</v>
      </c>
      <c r="B26" s="21">
        <v>2</v>
      </c>
    </row>
    <row r="27" spans="1:2" x14ac:dyDescent="0.25">
      <c r="A27" s="6" t="s">
        <v>670</v>
      </c>
      <c r="B27" s="21">
        <v>2</v>
      </c>
    </row>
    <row r="28" spans="1:2" x14ac:dyDescent="0.25">
      <c r="A28" s="6" t="s">
        <v>672</v>
      </c>
      <c r="B28" s="21">
        <v>3</v>
      </c>
    </row>
    <row r="29" spans="1:2" x14ac:dyDescent="0.25">
      <c r="A29" s="6" t="s">
        <v>675</v>
      </c>
      <c r="B29" s="21">
        <v>2</v>
      </c>
    </row>
    <row r="30" spans="1:2" x14ac:dyDescent="0.25">
      <c r="A30" s="7" t="s">
        <v>694</v>
      </c>
      <c r="B30" s="22">
        <f>AVERAGE(B31,B32,B33,B34)</f>
        <v>2.25</v>
      </c>
    </row>
    <row r="31" spans="1:2" x14ac:dyDescent="0.25">
      <c r="A31" s="6" t="s">
        <v>695</v>
      </c>
      <c r="B31" s="21">
        <v>1</v>
      </c>
    </row>
    <row r="32" spans="1:2" x14ac:dyDescent="0.25">
      <c r="A32" s="6" t="s">
        <v>697</v>
      </c>
      <c r="B32" s="21">
        <v>3</v>
      </c>
    </row>
    <row r="33" spans="1:2" x14ac:dyDescent="0.25">
      <c r="A33" s="6" t="s">
        <v>700</v>
      </c>
      <c r="B33" s="21">
        <v>3</v>
      </c>
    </row>
    <row r="34" spans="1:2" x14ac:dyDescent="0.25">
      <c r="A34" s="6" t="s">
        <v>703</v>
      </c>
      <c r="B34" s="21">
        <v>2</v>
      </c>
    </row>
    <row r="35" spans="1:2" x14ac:dyDescent="0.25">
      <c r="A35" s="7" t="s">
        <v>715</v>
      </c>
      <c r="B35" s="22">
        <f>AVERAGE(B36,B37,B38,B39,B40)</f>
        <v>2.6</v>
      </c>
    </row>
    <row r="36" spans="1:2" x14ac:dyDescent="0.25">
      <c r="A36" s="6" t="s">
        <v>716</v>
      </c>
      <c r="B36" s="21">
        <v>2</v>
      </c>
    </row>
    <row r="37" spans="1:2" x14ac:dyDescent="0.25">
      <c r="A37" s="6" t="s">
        <v>719</v>
      </c>
      <c r="B37" s="21">
        <v>3</v>
      </c>
    </row>
    <row r="38" spans="1:2" x14ac:dyDescent="0.25">
      <c r="A38" s="6" t="s">
        <v>722</v>
      </c>
      <c r="B38" s="21">
        <v>3</v>
      </c>
    </row>
    <row r="39" spans="1:2" x14ac:dyDescent="0.25">
      <c r="A39" s="6" t="s">
        <v>725</v>
      </c>
      <c r="B39" s="21">
        <v>3</v>
      </c>
    </row>
    <row r="40" spans="1:2" x14ac:dyDescent="0.25">
      <c r="A40" s="6" t="s">
        <v>727</v>
      </c>
      <c r="B40" s="21">
        <v>2</v>
      </c>
    </row>
    <row r="41" spans="1:2" x14ac:dyDescent="0.25">
      <c r="A41" s="7" t="s">
        <v>729</v>
      </c>
      <c r="B41" s="22">
        <f>AVERAGE(B42,B43,B44,B45)</f>
        <v>2.25</v>
      </c>
    </row>
    <row r="42" spans="1:2" x14ac:dyDescent="0.25">
      <c r="A42" s="6" t="s">
        <v>730</v>
      </c>
      <c r="B42" s="21">
        <v>1</v>
      </c>
    </row>
    <row r="43" spans="1:2" x14ac:dyDescent="0.25">
      <c r="A43" s="6" t="s">
        <v>732</v>
      </c>
      <c r="B43" s="21">
        <v>2</v>
      </c>
    </row>
    <row r="44" spans="1:2" x14ac:dyDescent="0.25">
      <c r="A44" s="6" t="s">
        <v>735</v>
      </c>
      <c r="B44" s="21">
        <v>3</v>
      </c>
    </row>
    <row r="45" spans="1:2" x14ac:dyDescent="0.25">
      <c r="A45" s="6" t="s">
        <v>737</v>
      </c>
      <c r="B45" s="21">
        <v>3</v>
      </c>
    </row>
    <row r="46" spans="1:2" x14ac:dyDescent="0.25">
      <c r="A46" s="7" t="s">
        <v>801</v>
      </c>
      <c r="B46" s="22">
        <f>AVERAGE(B47:B52)</f>
        <v>1.5</v>
      </c>
    </row>
    <row r="47" spans="1:2" x14ac:dyDescent="0.25">
      <c r="A47" s="6" t="s">
        <v>802</v>
      </c>
      <c r="B47" s="21">
        <v>1</v>
      </c>
    </row>
    <row r="48" spans="1:2" x14ac:dyDescent="0.25">
      <c r="A48" s="6" t="s">
        <v>804</v>
      </c>
      <c r="B48" s="21">
        <v>1</v>
      </c>
    </row>
    <row r="49" spans="1:2" x14ac:dyDescent="0.25">
      <c r="A49" s="6" t="s">
        <v>806</v>
      </c>
      <c r="B49" s="21">
        <v>2</v>
      </c>
    </row>
    <row r="50" spans="1:2" x14ac:dyDescent="0.25">
      <c r="A50" s="6" t="s">
        <v>808</v>
      </c>
      <c r="B50" s="21">
        <v>2</v>
      </c>
    </row>
    <row r="51" spans="1:2" x14ac:dyDescent="0.25">
      <c r="A51" s="6" t="s">
        <v>810</v>
      </c>
      <c r="B51" s="21">
        <v>1</v>
      </c>
    </row>
    <row r="52" spans="1:2" x14ac:dyDescent="0.25">
      <c r="A52" s="6" t="s">
        <v>813</v>
      </c>
      <c r="B52" s="21">
        <v>2</v>
      </c>
    </row>
    <row r="53" spans="1:2" x14ac:dyDescent="0.25">
      <c r="A53" s="45" t="s">
        <v>933</v>
      </c>
      <c r="B53" s="7"/>
    </row>
    <row r="54" spans="1:2" x14ac:dyDescent="0.25">
      <c r="A54" s="7" t="s">
        <v>48</v>
      </c>
      <c r="B54" s="22">
        <f>AVERAGE(B55:B58)</f>
        <v>4</v>
      </c>
    </row>
    <row r="55" spans="1:2" x14ac:dyDescent="0.25">
      <c r="A55" s="6" t="s">
        <v>49</v>
      </c>
      <c r="B55" s="21">
        <v>4</v>
      </c>
    </row>
    <row r="56" spans="1:2" x14ac:dyDescent="0.25">
      <c r="A56" s="6" t="s">
        <v>57</v>
      </c>
      <c r="B56" s="21">
        <v>4</v>
      </c>
    </row>
    <row r="57" spans="1:2" x14ac:dyDescent="0.25">
      <c r="A57" s="6" t="s">
        <v>60</v>
      </c>
      <c r="B57" s="21">
        <v>4</v>
      </c>
    </row>
    <row r="58" spans="1:2" x14ac:dyDescent="0.25">
      <c r="A58" s="6" t="s">
        <v>63</v>
      </c>
      <c r="B58" s="21">
        <v>4</v>
      </c>
    </row>
    <row r="59" spans="1:2" x14ac:dyDescent="0.25">
      <c r="A59" s="7" t="s">
        <v>937</v>
      </c>
      <c r="B59" s="22">
        <f>AVERAGE(B60:B64)</f>
        <v>3.4</v>
      </c>
    </row>
    <row r="60" spans="1:2" x14ac:dyDescent="0.25">
      <c r="A60" s="11" t="s">
        <v>946</v>
      </c>
      <c r="B60" s="21">
        <v>4</v>
      </c>
    </row>
    <row r="61" spans="1:2" x14ac:dyDescent="0.25">
      <c r="A61" s="11" t="s">
        <v>940</v>
      </c>
      <c r="B61" s="21">
        <v>3</v>
      </c>
    </row>
    <row r="62" spans="1:2" x14ac:dyDescent="0.25">
      <c r="A62" s="11" t="s">
        <v>941</v>
      </c>
      <c r="B62" s="21">
        <v>3</v>
      </c>
    </row>
    <row r="63" spans="1:2" x14ac:dyDescent="0.25">
      <c r="A63" s="11" t="s">
        <v>947</v>
      </c>
      <c r="B63" s="21">
        <v>3</v>
      </c>
    </row>
    <row r="64" spans="1:2" x14ac:dyDescent="0.25">
      <c r="A64" s="11" t="s">
        <v>948</v>
      </c>
      <c r="B64" s="21">
        <v>4</v>
      </c>
    </row>
    <row r="65" spans="1:2" x14ac:dyDescent="0.25">
      <c r="A65" s="7" t="s">
        <v>71</v>
      </c>
      <c r="B65" s="22">
        <f>AVERAGE(B66:B68)</f>
        <v>2.3333333333333335</v>
      </c>
    </row>
    <row r="66" spans="1:2" x14ac:dyDescent="0.25">
      <c r="A66" s="6" t="s">
        <v>72</v>
      </c>
      <c r="B66" s="21">
        <v>3</v>
      </c>
    </row>
    <row r="67" spans="1:2" x14ac:dyDescent="0.25">
      <c r="A67" s="6" t="s">
        <v>75</v>
      </c>
      <c r="B67" s="21">
        <v>2</v>
      </c>
    </row>
    <row r="68" spans="1:2" x14ac:dyDescent="0.25">
      <c r="A68" s="6" t="s">
        <v>77</v>
      </c>
      <c r="B68" s="21">
        <v>2</v>
      </c>
    </row>
    <row r="69" spans="1:2" x14ac:dyDescent="0.25">
      <c r="A69" s="7" t="s">
        <v>79</v>
      </c>
      <c r="B69" s="22">
        <f>AVERAGE(B70:B78)</f>
        <v>3.1111111111111112</v>
      </c>
    </row>
    <row r="70" spans="1:2" x14ac:dyDescent="0.25">
      <c r="A70" s="6" t="s">
        <v>80</v>
      </c>
      <c r="B70" s="21">
        <v>3</v>
      </c>
    </row>
    <row r="71" spans="1:2" x14ac:dyDescent="0.25">
      <c r="A71" s="6" t="s">
        <v>82</v>
      </c>
      <c r="B71" s="21">
        <v>2</v>
      </c>
    </row>
    <row r="72" spans="1:2" x14ac:dyDescent="0.25">
      <c r="A72" s="6" t="s">
        <v>85</v>
      </c>
      <c r="B72" s="21">
        <v>2</v>
      </c>
    </row>
    <row r="73" spans="1:2" x14ac:dyDescent="0.25">
      <c r="A73" s="6" t="s">
        <v>88</v>
      </c>
      <c r="B73" s="21">
        <v>2</v>
      </c>
    </row>
    <row r="74" spans="1:2" x14ac:dyDescent="0.25">
      <c r="A74" s="6" t="s">
        <v>90</v>
      </c>
      <c r="B74" s="21">
        <v>4</v>
      </c>
    </row>
    <row r="75" spans="1:2" x14ac:dyDescent="0.25">
      <c r="A75" s="6" t="s">
        <v>92</v>
      </c>
      <c r="B75" s="21">
        <v>4</v>
      </c>
    </row>
    <row r="76" spans="1:2" x14ac:dyDescent="0.25">
      <c r="A76" s="6" t="s">
        <v>94</v>
      </c>
      <c r="B76" s="21">
        <v>4</v>
      </c>
    </row>
    <row r="77" spans="1:2" x14ac:dyDescent="0.25">
      <c r="A77" s="6" t="s">
        <v>97</v>
      </c>
      <c r="B77" s="21">
        <v>3</v>
      </c>
    </row>
    <row r="78" spans="1:2" x14ac:dyDescent="0.25">
      <c r="A78" s="6" t="s">
        <v>100</v>
      </c>
      <c r="B78" s="21">
        <v>4</v>
      </c>
    </row>
    <row r="79" spans="1:2" x14ac:dyDescent="0.25">
      <c r="A79" s="7" t="s">
        <v>938</v>
      </c>
      <c r="B79" s="22">
        <f>AVERAGE(B80:B82)</f>
        <v>3.6666666666666665</v>
      </c>
    </row>
    <row r="80" spans="1:2" x14ac:dyDescent="0.25">
      <c r="A80" s="6" t="s">
        <v>949</v>
      </c>
      <c r="B80" s="21">
        <v>4</v>
      </c>
    </row>
    <row r="81" spans="1:2" x14ac:dyDescent="0.25">
      <c r="A81" s="6" t="s">
        <v>950</v>
      </c>
      <c r="B81" s="21">
        <v>3</v>
      </c>
    </row>
    <row r="82" spans="1:2" x14ac:dyDescent="0.25">
      <c r="A82" s="6" t="s">
        <v>954</v>
      </c>
      <c r="B82" s="21">
        <v>4</v>
      </c>
    </row>
    <row r="83" spans="1:2" x14ac:dyDescent="0.25">
      <c r="A83" s="7" t="s">
        <v>939</v>
      </c>
      <c r="B83" s="22">
        <f>AVERAGE(B84:B87)</f>
        <v>2.5</v>
      </c>
    </row>
    <row r="84" spans="1:2" x14ac:dyDescent="0.25">
      <c r="A84" s="6" t="s">
        <v>951</v>
      </c>
      <c r="B84" s="21">
        <v>4</v>
      </c>
    </row>
    <row r="85" spans="1:2" x14ac:dyDescent="0.25">
      <c r="A85" s="6" t="s">
        <v>952</v>
      </c>
      <c r="B85" s="21">
        <v>2</v>
      </c>
    </row>
    <row r="86" spans="1:2" x14ac:dyDescent="0.25">
      <c r="A86" s="6" t="s">
        <v>955</v>
      </c>
      <c r="B86" s="21">
        <v>2</v>
      </c>
    </row>
    <row r="87" spans="1:2" x14ac:dyDescent="0.25">
      <c r="A87" s="6" t="s">
        <v>956</v>
      </c>
      <c r="B87" s="21">
        <v>2</v>
      </c>
    </row>
    <row r="88" spans="1:2" x14ac:dyDescent="0.25">
      <c r="A88" s="7" t="s">
        <v>145</v>
      </c>
      <c r="B88" s="22">
        <f>AVERAGE(B89:B92)</f>
        <v>3.75</v>
      </c>
    </row>
    <row r="89" spans="1:2" x14ac:dyDescent="0.25">
      <c r="A89" s="6" t="s">
        <v>146</v>
      </c>
      <c r="B89" s="21">
        <v>4</v>
      </c>
    </row>
    <row r="90" spans="1:2" x14ac:dyDescent="0.25">
      <c r="A90" s="6" t="s">
        <v>148</v>
      </c>
      <c r="B90" s="21">
        <v>3</v>
      </c>
    </row>
    <row r="91" spans="1:2" x14ac:dyDescent="0.25">
      <c r="A91" s="6" t="s">
        <v>150</v>
      </c>
      <c r="B91" s="21">
        <v>4</v>
      </c>
    </row>
    <row r="92" spans="1:2" x14ac:dyDescent="0.25">
      <c r="A92" s="6" t="s">
        <v>152</v>
      </c>
      <c r="B92" s="21">
        <v>4</v>
      </c>
    </row>
    <row r="93" spans="1:2" x14ac:dyDescent="0.25">
      <c r="A93" s="7" t="s">
        <v>210</v>
      </c>
      <c r="B93" s="22">
        <f>AVERAGE(B94:B97)</f>
        <v>3.5</v>
      </c>
    </row>
    <row r="94" spans="1:2" x14ac:dyDescent="0.25">
      <c r="A94" s="6" t="s">
        <v>211</v>
      </c>
      <c r="B94" s="21">
        <v>3</v>
      </c>
    </row>
    <row r="95" spans="1:2" x14ac:dyDescent="0.25">
      <c r="A95" s="6" t="s">
        <v>214</v>
      </c>
      <c r="B95" s="21">
        <v>4</v>
      </c>
    </row>
    <row r="96" spans="1:2" x14ac:dyDescent="0.25">
      <c r="A96" s="6" t="s">
        <v>216</v>
      </c>
      <c r="B96" s="21">
        <v>3</v>
      </c>
    </row>
    <row r="97" spans="1:2" x14ac:dyDescent="0.25">
      <c r="A97" s="6" t="s">
        <v>218</v>
      </c>
      <c r="B97" s="21">
        <v>4</v>
      </c>
    </row>
    <row r="98" spans="1:2" x14ac:dyDescent="0.25">
      <c r="A98" s="7" t="s">
        <v>220</v>
      </c>
      <c r="B98" s="22">
        <f>AVERAGE(B99:B104)</f>
        <v>2</v>
      </c>
    </row>
    <row r="99" spans="1:2" x14ac:dyDescent="0.25">
      <c r="A99" s="6" t="s">
        <v>221</v>
      </c>
      <c r="B99" s="21">
        <v>3</v>
      </c>
    </row>
    <row r="100" spans="1:2" x14ac:dyDescent="0.25">
      <c r="A100" s="6" t="s">
        <v>224</v>
      </c>
      <c r="B100" s="21">
        <v>2</v>
      </c>
    </row>
    <row r="101" spans="1:2" x14ac:dyDescent="0.25">
      <c r="A101" s="6" t="s">
        <v>228</v>
      </c>
      <c r="B101" s="21">
        <v>2</v>
      </c>
    </row>
    <row r="102" spans="1:2" x14ac:dyDescent="0.25">
      <c r="A102" s="6" t="s">
        <v>231</v>
      </c>
      <c r="B102" s="21">
        <v>2</v>
      </c>
    </row>
    <row r="103" spans="1:2" x14ac:dyDescent="0.25">
      <c r="A103" s="6" t="s">
        <v>235</v>
      </c>
      <c r="B103" s="21">
        <v>2</v>
      </c>
    </row>
    <row r="104" spans="1:2" x14ac:dyDescent="0.25">
      <c r="A104" s="6" t="s">
        <v>239</v>
      </c>
      <c r="B104" s="21">
        <v>1</v>
      </c>
    </row>
    <row r="105" spans="1:2" x14ac:dyDescent="0.25">
      <c r="A105" s="7" t="s">
        <v>241</v>
      </c>
      <c r="B105" s="22">
        <f>AVERAGE(B106:B110)</f>
        <v>4</v>
      </c>
    </row>
    <row r="106" spans="1:2" x14ac:dyDescent="0.25">
      <c r="A106" s="6" t="s">
        <v>242</v>
      </c>
      <c r="B106" s="21">
        <v>4</v>
      </c>
    </row>
    <row r="107" spans="1:2" x14ac:dyDescent="0.25">
      <c r="A107" s="6" t="s">
        <v>244</v>
      </c>
      <c r="B107" s="21">
        <v>4</v>
      </c>
    </row>
    <row r="108" spans="1:2" x14ac:dyDescent="0.25">
      <c r="A108" s="6" t="s">
        <v>246</v>
      </c>
      <c r="B108" s="21">
        <v>4</v>
      </c>
    </row>
    <row r="109" spans="1:2" x14ac:dyDescent="0.25">
      <c r="A109" s="6" t="s">
        <v>250</v>
      </c>
      <c r="B109" s="21">
        <v>4</v>
      </c>
    </row>
    <row r="110" spans="1:2" x14ac:dyDescent="0.25">
      <c r="A110" s="6" t="s">
        <v>253</v>
      </c>
      <c r="B110" s="21">
        <v>4</v>
      </c>
    </row>
    <row r="111" spans="1:2" x14ac:dyDescent="0.25">
      <c r="A111" s="7" t="s">
        <v>255</v>
      </c>
      <c r="B111" s="22">
        <f>AVERAGE(B112:B114)</f>
        <v>3</v>
      </c>
    </row>
    <row r="112" spans="1:2" x14ac:dyDescent="0.25">
      <c r="A112" s="6" t="s">
        <v>256</v>
      </c>
      <c r="B112" s="21">
        <v>2</v>
      </c>
    </row>
    <row r="113" spans="1:2" x14ac:dyDescent="0.25">
      <c r="A113" s="6" t="s">
        <v>258</v>
      </c>
      <c r="B113" s="21">
        <v>4</v>
      </c>
    </row>
    <row r="114" spans="1:2" x14ac:dyDescent="0.25">
      <c r="A114" s="6" t="s">
        <v>261</v>
      </c>
      <c r="B114" s="21">
        <v>3</v>
      </c>
    </row>
    <row r="115" spans="1:2" x14ac:dyDescent="0.25">
      <c r="A115" s="7" t="s">
        <v>304</v>
      </c>
      <c r="B115" s="22">
        <f>AVERAGE(B116:B119)</f>
        <v>3.75</v>
      </c>
    </row>
    <row r="116" spans="1:2" x14ac:dyDescent="0.25">
      <c r="A116" s="6" t="s">
        <v>305</v>
      </c>
      <c r="B116" s="21">
        <v>4</v>
      </c>
    </row>
    <row r="117" spans="1:2" x14ac:dyDescent="0.25">
      <c r="A117" s="6" t="s">
        <v>308</v>
      </c>
      <c r="B117" s="21">
        <v>3</v>
      </c>
    </row>
    <row r="118" spans="1:2" x14ac:dyDescent="0.25">
      <c r="A118" s="6" t="s">
        <v>310</v>
      </c>
      <c r="B118" s="21">
        <v>4</v>
      </c>
    </row>
    <row r="119" spans="1:2" x14ac:dyDescent="0.25">
      <c r="A119" s="6" t="s">
        <v>312</v>
      </c>
      <c r="B119" s="21">
        <v>4</v>
      </c>
    </row>
    <row r="120" spans="1:2" x14ac:dyDescent="0.25">
      <c r="A120" s="7" t="s">
        <v>314</v>
      </c>
      <c r="B120" s="22">
        <f>AVERAGE(B121:B125)</f>
        <v>2.4</v>
      </c>
    </row>
    <row r="121" spans="1:2" x14ac:dyDescent="0.25">
      <c r="A121" s="6" t="s">
        <v>315</v>
      </c>
      <c r="B121" s="21">
        <v>3</v>
      </c>
    </row>
    <row r="122" spans="1:2" x14ac:dyDescent="0.25">
      <c r="A122" s="6" t="s">
        <v>317</v>
      </c>
      <c r="B122" s="21">
        <v>3</v>
      </c>
    </row>
    <row r="123" spans="1:2" x14ac:dyDescent="0.25">
      <c r="A123" s="6" t="s">
        <v>320</v>
      </c>
      <c r="B123" s="21">
        <v>2</v>
      </c>
    </row>
    <row r="124" spans="1:2" x14ac:dyDescent="0.25">
      <c r="A124" s="6" t="s">
        <v>323</v>
      </c>
      <c r="B124" s="21">
        <v>1</v>
      </c>
    </row>
    <row r="125" spans="1:2" x14ac:dyDescent="0.25">
      <c r="A125" s="6" t="s">
        <v>326</v>
      </c>
      <c r="B125" s="21">
        <v>3</v>
      </c>
    </row>
    <row r="126" spans="1:2" x14ac:dyDescent="0.25">
      <c r="A126" s="7" t="s">
        <v>328</v>
      </c>
      <c r="B126" s="22">
        <f>AVERAGE(B127:B130)</f>
        <v>3</v>
      </c>
    </row>
    <row r="127" spans="1:2" x14ac:dyDescent="0.25">
      <c r="A127" s="6" t="s">
        <v>329</v>
      </c>
      <c r="B127" s="21">
        <v>3</v>
      </c>
    </row>
    <row r="128" spans="1:2" x14ac:dyDescent="0.25">
      <c r="A128" s="6" t="s">
        <v>331</v>
      </c>
      <c r="B128" s="21">
        <v>3</v>
      </c>
    </row>
    <row r="129" spans="1:8" x14ac:dyDescent="0.25">
      <c r="A129" s="6" t="s">
        <v>334</v>
      </c>
      <c r="B129" s="21">
        <v>3</v>
      </c>
    </row>
    <row r="130" spans="1:8" x14ac:dyDescent="0.25">
      <c r="A130" s="6" t="s">
        <v>337</v>
      </c>
      <c r="B130" s="21">
        <v>3</v>
      </c>
    </row>
    <row r="131" spans="1:8" x14ac:dyDescent="0.25">
      <c r="A131" s="7" t="s">
        <v>275</v>
      </c>
      <c r="B131" s="22">
        <f>AVERAGE(B132:B135)</f>
        <v>3</v>
      </c>
    </row>
    <row r="132" spans="1:8" x14ac:dyDescent="0.25">
      <c r="A132" s="6" t="s">
        <v>276</v>
      </c>
      <c r="B132" s="21">
        <v>3</v>
      </c>
    </row>
    <row r="133" spans="1:8" x14ac:dyDescent="0.25">
      <c r="A133" s="6" t="s">
        <v>279</v>
      </c>
      <c r="B133" s="21">
        <v>4</v>
      </c>
    </row>
    <row r="134" spans="1:8" x14ac:dyDescent="0.25">
      <c r="A134" s="6" t="s">
        <v>282</v>
      </c>
      <c r="B134" s="21">
        <v>2</v>
      </c>
    </row>
    <row r="135" spans="1:8" x14ac:dyDescent="0.25">
      <c r="A135" s="6" t="s">
        <v>953</v>
      </c>
      <c r="B135" s="21">
        <v>3</v>
      </c>
    </row>
    <row r="136" spans="1:8" x14ac:dyDescent="0.25">
      <c r="A136" s="45" t="s">
        <v>935</v>
      </c>
      <c r="B136" s="7"/>
    </row>
    <row r="137" spans="1:8" x14ac:dyDescent="0.25">
      <c r="A137" s="7" t="s">
        <v>815</v>
      </c>
      <c r="B137" s="22">
        <v>1</v>
      </c>
    </row>
    <row r="138" spans="1:8" x14ac:dyDescent="0.25">
      <c r="A138" s="6" t="s">
        <v>816</v>
      </c>
      <c r="B138" s="21">
        <v>1</v>
      </c>
    </row>
    <row r="139" spans="1:8" x14ac:dyDescent="0.25">
      <c r="A139" s="6" t="s">
        <v>818</v>
      </c>
      <c r="B139" s="21">
        <v>1</v>
      </c>
    </row>
    <row r="140" spans="1:8" x14ac:dyDescent="0.25">
      <c r="A140" s="6" t="s">
        <v>819</v>
      </c>
      <c r="B140" s="21">
        <v>1</v>
      </c>
    </row>
    <row r="141" spans="1:8" x14ac:dyDescent="0.25">
      <c r="A141" s="6" t="s">
        <v>820</v>
      </c>
      <c r="B141" s="21">
        <v>1</v>
      </c>
    </row>
    <row r="142" spans="1:8" x14ac:dyDescent="0.25">
      <c r="A142" s="6" t="s">
        <v>821</v>
      </c>
      <c r="B142" s="21">
        <v>1</v>
      </c>
    </row>
    <row r="143" spans="1:8" x14ac:dyDescent="0.25">
      <c r="A143" s="7" t="s">
        <v>822</v>
      </c>
      <c r="B143" s="22" t="s">
        <v>823</v>
      </c>
    </row>
    <row r="144" spans="1:8" x14ac:dyDescent="0.25">
      <c r="A144" s="11" t="s">
        <v>824</v>
      </c>
      <c r="B144" s="21">
        <v>4</v>
      </c>
      <c r="H144" s="21"/>
    </row>
    <row r="145" spans="1:2" x14ac:dyDescent="0.25">
      <c r="A145" s="11" t="s">
        <v>826</v>
      </c>
      <c r="B145" s="21">
        <v>4</v>
      </c>
    </row>
    <row r="146" spans="1:2" x14ac:dyDescent="0.25">
      <c r="A146" s="11" t="s">
        <v>827</v>
      </c>
      <c r="B146" s="21">
        <v>4</v>
      </c>
    </row>
    <row r="147" spans="1:2" x14ac:dyDescent="0.25">
      <c r="A147" s="11" t="s">
        <v>828</v>
      </c>
      <c r="B147" s="21">
        <v>4</v>
      </c>
    </row>
    <row r="148" spans="1:2" x14ac:dyDescent="0.25">
      <c r="A148" s="11" t="s">
        <v>829</v>
      </c>
      <c r="B148" s="21">
        <v>3</v>
      </c>
    </row>
    <row r="149" spans="1:2" x14ac:dyDescent="0.25">
      <c r="A149" s="7" t="s">
        <v>845</v>
      </c>
      <c r="B149" s="22" t="s">
        <v>846</v>
      </c>
    </row>
    <row r="150" spans="1:2" x14ac:dyDescent="0.25">
      <c r="A150" s="6" t="s">
        <v>847</v>
      </c>
      <c r="B150" s="21">
        <v>4</v>
      </c>
    </row>
    <row r="151" spans="1:2" x14ac:dyDescent="0.25">
      <c r="A151" s="6" t="s">
        <v>849</v>
      </c>
      <c r="B151" s="21">
        <v>2</v>
      </c>
    </row>
    <row r="152" spans="1:2" x14ac:dyDescent="0.25">
      <c r="A152" s="6" t="s">
        <v>850</v>
      </c>
      <c r="B152" s="21">
        <v>2</v>
      </c>
    </row>
    <row r="153" spans="1:2" x14ac:dyDescent="0.25">
      <c r="A153" s="6" t="s">
        <v>851</v>
      </c>
      <c r="B153" s="21">
        <v>1</v>
      </c>
    </row>
    <row r="154" spans="1:2" x14ac:dyDescent="0.25">
      <c r="A154" s="6" t="s">
        <v>852</v>
      </c>
      <c r="B154" s="21">
        <v>2</v>
      </c>
    </row>
    <row r="155" spans="1:2" x14ac:dyDescent="0.25">
      <c r="A155" s="7" t="s">
        <v>871</v>
      </c>
      <c r="B155" s="22" t="s">
        <v>863</v>
      </c>
    </row>
    <row r="156" spans="1:2" x14ac:dyDescent="0.25">
      <c r="A156" s="6" t="s">
        <v>872</v>
      </c>
      <c r="B156" s="21">
        <v>3</v>
      </c>
    </row>
    <row r="157" spans="1:2" x14ac:dyDescent="0.25">
      <c r="A157" s="6" t="s">
        <v>874</v>
      </c>
      <c r="B157" s="21">
        <v>2</v>
      </c>
    </row>
    <row r="158" spans="1:2" x14ac:dyDescent="0.25">
      <c r="A158" s="6" t="s">
        <v>875</v>
      </c>
      <c r="B158" s="21">
        <v>2</v>
      </c>
    </row>
    <row r="159" spans="1:2" x14ac:dyDescent="0.25">
      <c r="A159" s="6" t="s">
        <v>876</v>
      </c>
      <c r="B159" s="21">
        <v>3</v>
      </c>
    </row>
    <row r="160" spans="1:2" x14ac:dyDescent="0.25">
      <c r="A160" s="6" t="s">
        <v>877</v>
      </c>
      <c r="B160" s="21">
        <v>3</v>
      </c>
    </row>
    <row r="161" spans="1:2" x14ac:dyDescent="0.25">
      <c r="A161" s="7" t="s">
        <v>831</v>
      </c>
      <c r="B161" s="22" t="s">
        <v>832</v>
      </c>
    </row>
    <row r="162" spans="1:2" x14ac:dyDescent="0.25">
      <c r="A162" s="13" t="s">
        <v>833</v>
      </c>
      <c r="B162" s="21">
        <v>4</v>
      </c>
    </row>
    <row r="163" spans="1:2" x14ac:dyDescent="0.25">
      <c r="A163" s="13" t="s">
        <v>835</v>
      </c>
      <c r="B163" s="21">
        <v>2</v>
      </c>
    </row>
    <row r="164" spans="1:2" x14ac:dyDescent="0.25">
      <c r="A164" s="13" t="s">
        <v>836</v>
      </c>
      <c r="B164" s="21">
        <v>2</v>
      </c>
    </row>
    <row r="165" spans="1:2" x14ac:dyDescent="0.25">
      <c r="A165" s="13" t="s">
        <v>838</v>
      </c>
      <c r="B165" s="21">
        <v>3</v>
      </c>
    </row>
    <row r="166" spans="1:2" x14ac:dyDescent="0.25">
      <c r="A166" s="13" t="s">
        <v>839</v>
      </c>
      <c r="B166" s="21">
        <v>3</v>
      </c>
    </row>
    <row r="167" spans="1:2" x14ac:dyDescent="0.25">
      <c r="A167" s="13" t="s">
        <v>840</v>
      </c>
      <c r="B167" s="21">
        <v>4</v>
      </c>
    </row>
    <row r="168" spans="1:2" x14ac:dyDescent="0.25">
      <c r="A168" s="13" t="s">
        <v>842</v>
      </c>
      <c r="B168" s="21">
        <v>4</v>
      </c>
    </row>
    <row r="169" spans="1:2" x14ac:dyDescent="0.25">
      <c r="A169" s="13" t="s">
        <v>844</v>
      </c>
      <c r="B169" s="21">
        <v>3</v>
      </c>
    </row>
    <row r="170" spans="1:2" x14ac:dyDescent="0.25">
      <c r="A170" s="7" t="s">
        <v>901</v>
      </c>
      <c r="B170" s="22" t="s">
        <v>902</v>
      </c>
    </row>
    <row r="171" spans="1:2" x14ac:dyDescent="0.25">
      <c r="A171" s="6" t="s">
        <v>903</v>
      </c>
      <c r="B171" s="21">
        <v>2</v>
      </c>
    </row>
    <row r="172" spans="1:2" x14ac:dyDescent="0.25">
      <c r="A172" s="6" t="s">
        <v>905</v>
      </c>
      <c r="B172" s="21">
        <v>3</v>
      </c>
    </row>
    <row r="173" spans="1:2" x14ac:dyDescent="0.25">
      <c r="A173" s="6" t="s">
        <v>906</v>
      </c>
      <c r="B173" s="21">
        <v>3</v>
      </c>
    </row>
    <row r="174" spans="1:2" x14ac:dyDescent="0.25">
      <c r="A174" s="6" t="s">
        <v>907</v>
      </c>
      <c r="B174" s="21">
        <v>1</v>
      </c>
    </row>
    <row r="175" spans="1:2" x14ac:dyDescent="0.25">
      <c r="A175" s="6" t="s">
        <v>909</v>
      </c>
      <c r="B175" s="21">
        <v>3</v>
      </c>
    </row>
    <row r="176" spans="1:2" x14ac:dyDescent="0.25">
      <c r="A176" s="7" t="s">
        <v>910</v>
      </c>
      <c r="B176" s="22" t="s">
        <v>911</v>
      </c>
    </row>
    <row r="177" spans="1:2" x14ac:dyDescent="0.25">
      <c r="A177" s="6" t="s">
        <v>913</v>
      </c>
      <c r="B177" s="21">
        <v>3</v>
      </c>
    </row>
    <row r="178" spans="1:2" x14ac:dyDescent="0.25">
      <c r="A178" s="6" t="s">
        <v>915</v>
      </c>
      <c r="B178" s="21">
        <v>3</v>
      </c>
    </row>
    <row r="179" spans="1:2" x14ac:dyDescent="0.25">
      <c r="A179" s="6" t="s">
        <v>916</v>
      </c>
      <c r="B179" s="21">
        <v>4</v>
      </c>
    </row>
    <row r="180" spans="1:2" x14ac:dyDescent="0.25">
      <c r="A180" s="6" t="s">
        <v>917</v>
      </c>
      <c r="B180" s="21">
        <v>4</v>
      </c>
    </row>
    <row r="181" spans="1:2" x14ac:dyDescent="0.25">
      <c r="A181" s="6" t="s">
        <v>919</v>
      </c>
      <c r="B181" s="21">
        <v>2</v>
      </c>
    </row>
    <row r="182" spans="1:2" x14ac:dyDescent="0.25">
      <c r="A182" s="7" t="s">
        <v>920</v>
      </c>
      <c r="B182" s="22" t="s">
        <v>921</v>
      </c>
    </row>
    <row r="183" spans="1:2" x14ac:dyDescent="0.25">
      <c r="A183" s="6" t="s">
        <v>922</v>
      </c>
      <c r="B183" s="21">
        <v>4</v>
      </c>
    </row>
    <row r="184" spans="1:2" x14ac:dyDescent="0.25">
      <c r="A184" s="6" t="s">
        <v>924</v>
      </c>
      <c r="B184" s="21">
        <v>3</v>
      </c>
    </row>
    <row r="185" spans="1:2" x14ac:dyDescent="0.25">
      <c r="A185" s="6" t="s">
        <v>925</v>
      </c>
      <c r="B185" s="21">
        <v>2</v>
      </c>
    </row>
    <row r="186" spans="1:2" x14ac:dyDescent="0.25">
      <c r="A186" s="6" t="s">
        <v>926</v>
      </c>
      <c r="B186" s="21">
        <v>2</v>
      </c>
    </row>
    <row r="187" spans="1:2" x14ac:dyDescent="0.25">
      <c r="A187" s="45" t="s">
        <v>934</v>
      </c>
      <c r="B187" s="7"/>
    </row>
    <row r="188" spans="1:2" x14ac:dyDescent="0.25">
      <c r="A188" s="7" t="s">
        <v>387</v>
      </c>
      <c r="B188" s="36">
        <f>AVERAGE(B189:B191)</f>
        <v>3.3333333333333335</v>
      </c>
    </row>
    <row r="189" spans="1:2" x14ac:dyDescent="0.25">
      <c r="A189" s="6" t="s">
        <v>388</v>
      </c>
      <c r="B189" s="21">
        <v>3</v>
      </c>
    </row>
    <row r="190" spans="1:2" x14ac:dyDescent="0.25">
      <c r="A190" s="6" t="s">
        <v>391</v>
      </c>
      <c r="B190" s="21">
        <v>4</v>
      </c>
    </row>
    <row r="191" spans="1:2" x14ac:dyDescent="0.25">
      <c r="A191" s="6" t="s">
        <v>394</v>
      </c>
      <c r="B191" s="21">
        <v>3</v>
      </c>
    </row>
    <row r="192" spans="1:2" x14ac:dyDescent="0.25">
      <c r="A192" s="7" t="s">
        <v>410</v>
      </c>
      <c r="B192" s="22">
        <f>AVERAGE(B193:B196)</f>
        <v>2.5</v>
      </c>
    </row>
    <row r="193" spans="1:2" x14ac:dyDescent="0.25">
      <c r="A193" s="6" t="s">
        <v>411</v>
      </c>
      <c r="B193" s="21">
        <v>4</v>
      </c>
    </row>
    <row r="194" spans="1:2" x14ac:dyDescent="0.25">
      <c r="A194" s="6" t="s">
        <v>414</v>
      </c>
      <c r="B194" s="21">
        <v>3</v>
      </c>
    </row>
    <row r="195" spans="1:2" x14ac:dyDescent="0.25">
      <c r="A195" s="6" t="s">
        <v>417</v>
      </c>
      <c r="B195" s="21">
        <v>1</v>
      </c>
    </row>
    <row r="196" spans="1:2" x14ac:dyDescent="0.25">
      <c r="A196" s="6" t="s">
        <v>420</v>
      </c>
      <c r="B196" s="21">
        <v>2</v>
      </c>
    </row>
    <row r="197" spans="1:2" x14ac:dyDescent="0.25">
      <c r="A197" s="7" t="s">
        <v>429</v>
      </c>
      <c r="B197" s="36">
        <f>AVERAGE(B198:B200)</f>
        <v>3.6666666666666665</v>
      </c>
    </row>
    <row r="198" spans="1:2" x14ac:dyDescent="0.25">
      <c r="A198" s="6" t="s">
        <v>430</v>
      </c>
      <c r="B198" s="21">
        <v>4</v>
      </c>
    </row>
    <row r="199" spans="1:2" x14ac:dyDescent="0.25">
      <c r="A199" s="6" t="s">
        <v>432</v>
      </c>
      <c r="B199" s="21">
        <v>3</v>
      </c>
    </row>
    <row r="200" spans="1:2" x14ac:dyDescent="0.25">
      <c r="A200" s="6" t="s">
        <v>434</v>
      </c>
      <c r="B200" s="21">
        <v>4</v>
      </c>
    </row>
    <row r="201" spans="1:2" x14ac:dyDescent="0.25">
      <c r="A201" s="7" t="s">
        <v>437</v>
      </c>
      <c r="B201" s="22">
        <f>AVERAGE(B202:B205)</f>
        <v>2.25</v>
      </c>
    </row>
    <row r="202" spans="1:2" x14ac:dyDescent="0.25">
      <c r="A202" s="6" t="s">
        <v>438</v>
      </c>
      <c r="B202" s="21">
        <v>3</v>
      </c>
    </row>
    <row r="203" spans="1:2" x14ac:dyDescent="0.25">
      <c r="A203" s="6" t="s">
        <v>440</v>
      </c>
      <c r="B203" s="21">
        <v>2</v>
      </c>
    </row>
    <row r="204" spans="1:2" x14ac:dyDescent="0.25">
      <c r="A204" s="6" t="s">
        <v>443</v>
      </c>
      <c r="B204" s="21">
        <v>2</v>
      </c>
    </row>
    <row r="205" spans="1:2" x14ac:dyDescent="0.25">
      <c r="A205" s="6" t="s">
        <v>446</v>
      </c>
      <c r="B205" s="21">
        <v>2</v>
      </c>
    </row>
    <row r="206" spans="1:2" x14ac:dyDescent="0.25">
      <c r="A206" s="7" t="s">
        <v>928</v>
      </c>
      <c r="B206" s="36">
        <f>AVERAGE(B207:B210)</f>
        <v>3.25</v>
      </c>
    </row>
    <row r="207" spans="1:2" x14ac:dyDescent="0.25">
      <c r="A207" s="6" t="s">
        <v>502</v>
      </c>
      <c r="B207" s="21">
        <v>4</v>
      </c>
    </row>
    <row r="208" spans="1:2" x14ac:dyDescent="0.25">
      <c r="A208" s="6" t="s">
        <v>506</v>
      </c>
      <c r="B208" s="21">
        <v>4</v>
      </c>
    </row>
    <row r="209" spans="1:2" x14ac:dyDescent="0.25">
      <c r="A209" s="6" t="s">
        <v>509</v>
      </c>
      <c r="B209" s="21">
        <v>2</v>
      </c>
    </row>
    <row r="210" spans="1:2" x14ac:dyDescent="0.25">
      <c r="A210" s="6" t="s">
        <v>553</v>
      </c>
      <c r="B210" s="21">
        <v>3</v>
      </c>
    </row>
    <row r="211" spans="1:2" x14ac:dyDescent="0.25">
      <c r="A211" s="7" t="s">
        <v>530</v>
      </c>
      <c r="B211" s="36">
        <f>AVERAGE(B212:B214)</f>
        <v>2.6666666666666665</v>
      </c>
    </row>
    <row r="212" spans="1:2" x14ac:dyDescent="0.25">
      <c r="A212" s="6" t="s">
        <v>531</v>
      </c>
      <c r="B212" s="21">
        <v>4</v>
      </c>
    </row>
    <row r="213" spans="1:2" x14ac:dyDescent="0.25">
      <c r="A213" s="6" t="s">
        <v>533</v>
      </c>
      <c r="B213" s="21">
        <v>2</v>
      </c>
    </row>
    <row r="214" spans="1:2" x14ac:dyDescent="0.25">
      <c r="A214" s="6" t="s">
        <v>536</v>
      </c>
      <c r="B214" s="21">
        <v>2</v>
      </c>
    </row>
    <row r="215" spans="1:2" x14ac:dyDescent="0.25">
      <c r="A215" s="7" t="s">
        <v>539</v>
      </c>
      <c r="B215" s="22">
        <f>AVERAGE(B216:B219)</f>
        <v>2.5</v>
      </c>
    </row>
    <row r="216" spans="1:2" x14ac:dyDescent="0.25">
      <c r="A216" s="6" t="s">
        <v>541</v>
      </c>
      <c r="B216" s="21">
        <v>4</v>
      </c>
    </row>
    <row r="217" spans="1:2" x14ac:dyDescent="0.25">
      <c r="A217" s="6" t="s">
        <v>544</v>
      </c>
      <c r="B217" s="21">
        <v>3</v>
      </c>
    </row>
    <row r="218" spans="1:2" x14ac:dyDescent="0.25">
      <c r="A218" s="6" t="s">
        <v>547</v>
      </c>
      <c r="B218" s="21">
        <v>2</v>
      </c>
    </row>
    <row r="219" spans="1:2" x14ac:dyDescent="0.25">
      <c r="A219" s="25" t="s">
        <v>550</v>
      </c>
      <c r="B219" s="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N155"/>
  <sheetViews>
    <sheetView zoomScaleNormal="100" zoomScalePageLayoutView="120" workbookViewId="0">
      <selection activeCell="A114" sqref="A114"/>
    </sheetView>
  </sheetViews>
  <sheetFormatPr defaultColWidth="10.75" defaultRowHeight="12.75" x14ac:dyDescent="0.2"/>
  <cols>
    <col min="1" max="1" width="73.25" style="6" bestFit="1" customWidth="1"/>
    <col min="2" max="2" width="59.375" style="6" bestFit="1" customWidth="1"/>
    <col min="3" max="3" width="73.25" style="6" bestFit="1" customWidth="1"/>
    <col min="4" max="4" width="65.25" style="6" bestFit="1" customWidth="1"/>
    <col min="5" max="5" width="27.25" style="6" bestFit="1" customWidth="1"/>
    <col min="6" max="6" width="18.125" style="6" bestFit="1" customWidth="1"/>
    <col min="7" max="7" width="36.125" style="6" bestFit="1" customWidth="1"/>
    <col min="8" max="8" width="10.25" style="6" bestFit="1" customWidth="1"/>
    <col min="9" max="9" width="23.125" style="10" bestFit="1" customWidth="1"/>
    <col min="10" max="10" width="21.5" style="6" customWidth="1"/>
    <col min="11" max="11" width="23.125" style="6" customWidth="1"/>
    <col min="12" max="12" width="70" style="6" bestFit="1" customWidth="1"/>
    <col min="13" max="13" width="8.875" style="6" customWidth="1"/>
    <col min="14" max="14" width="23.875" style="21" bestFit="1" customWidth="1"/>
    <col min="15" max="16384" width="10.75" style="6"/>
  </cols>
  <sheetData>
    <row r="1" spans="1:14" x14ac:dyDescent="0.2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4" t="s">
        <v>44</v>
      </c>
      <c r="J1" s="47" t="s">
        <v>45</v>
      </c>
      <c r="K1" s="47"/>
      <c r="L1" s="5" t="s">
        <v>46</v>
      </c>
      <c r="N1" s="5" t="s">
        <v>47</v>
      </c>
    </row>
    <row r="2" spans="1:14" s="8" customFormat="1" x14ac:dyDescent="0.2">
      <c r="A2" s="7" t="s">
        <v>48</v>
      </c>
      <c r="C2" s="7"/>
      <c r="I2" s="9">
        <f>AVERAGE(I3,I4,I6,I5)</f>
        <v>3</v>
      </c>
      <c r="N2" s="22">
        <f>AVERAGE(N3:N6)</f>
        <v>4</v>
      </c>
    </row>
    <row r="3" spans="1:14" x14ac:dyDescent="0.2">
      <c r="A3" s="6" t="s">
        <v>49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 t="s">
        <v>54</v>
      </c>
      <c r="I3" s="10">
        <v>4</v>
      </c>
      <c r="J3" s="6" t="s">
        <v>55</v>
      </c>
      <c r="L3" s="6" t="s">
        <v>56</v>
      </c>
      <c r="N3" s="21">
        <v>4</v>
      </c>
    </row>
    <row r="4" spans="1:14" x14ac:dyDescent="0.2">
      <c r="A4" s="6" t="s">
        <v>57</v>
      </c>
      <c r="C4" s="6" t="s">
        <v>57</v>
      </c>
      <c r="D4" s="6" t="s">
        <v>58</v>
      </c>
      <c r="E4" s="6" t="s">
        <v>51</v>
      </c>
      <c r="F4" s="6" t="s">
        <v>52</v>
      </c>
      <c r="G4" s="6" t="s">
        <v>53</v>
      </c>
      <c r="H4" s="6" t="s">
        <v>55</v>
      </c>
      <c r="I4" s="10">
        <v>4</v>
      </c>
      <c r="J4" s="6" t="s">
        <v>55</v>
      </c>
      <c r="L4" s="6" t="s">
        <v>59</v>
      </c>
      <c r="N4" s="21">
        <v>4</v>
      </c>
    </row>
    <row r="5" spans="1:14" x14ac:dyDescent="0.2">
      <c r="A5" s="6" t="s">
        <v>60</v>
      </c>
      <c r="C5" s="6" t="s">
        <v>60</v>
      </c>
      <c r="D5" s="6" t="s">
        <v>61</v>
      </c>
      <c r="E5" s="6" t="s">
        <v>51</v>
      </c>
      <c r="F5" s="6" t="s">
        <v>52</v>
      </c>
      <c r="G5" s="6" t="s">
        <v>53</v>
      </c>
      <c r="H5" s="6" t="s">
        <v>55</v>
      </c>
      <c r="I5" s="10">
        <v>3</v>
      </c>
      <c r="J5" s="6" t="s">
        <v>55</v>
      </c>
      <c r="L5" s="6" t="s">
        <v>62</v>
      </c>
      <c r="N5" s="21">
        <v>4</v>
      </c>
    </row>
    <row r="6" spans="1:14" x14ac:dyDescent="0.2">
      <c r="A6" s="6" t="s">
        <v>63</v>
      </c>
      <c r="C6" s="6" t="s">
        <v>63</v>
      </c>
      <c r="D6" s="6" t="s">
        <v>64</v>
      </c>
      <c r="E6" s="6" t="s">
        <v>51</v>
      </c>
      <c r="F6" s="6" t="s">
        <v>52</v>
      </c>
      <c r="G6" s="6" t="s">
        <v>53</v>
      </c>
      <c r="H6" s="6" t="s">
        <v>55</v>
      </c>
      <c r="I6" s="10">
        <v>1</v>
      </c>
      <c r="J6" s="6" t="s">
        <v>55</v>
      </c>
      <c r="L6" s="6" t="s">
        <v>65</v>
      </c>
      <c r="N6" s="21">
        <v>4</v>
      </c>
    </row>
    <row r="7" spans="1:14" s="8" customFormat="1" x14ac:dyDescent="0.2">
      <c r="A7" s="7" t="s">
        <v>937</v>
      </c>
      <c r="C7" s="7"/>
      <c r="I7" s="9">
        <f>AVERAGE(I8,I9,I10,I11,I12)</f>
        <v>1.8</v>
      </c>
      <c r="N7" s="22">
        <f>AVERAGE(N8:N12)</f>
        <v>3.4</v>
      </c>
    </row>
    <row r="8" spans="1:14" x14ac:dyDescent="0.2">
      <c r="A8" s="11" t="s">
        <v>946</v>
      </c>
      <c r="C8" s="11" t="s">
        <v>946</v>
      </c>
      <c r="D8" s="6" t="s">
        <v>972</v>
      </c>
      <c r="E8" s="6" t="s">
        <v>51</v>
      </c>
      <c r="F8" s="6" t="s">
        <v>66</v>
      </c>
      <c r="G8" s="6" t="s">
        <v>53</v>
      </c>
      <c r="H8" s="6" t="s">
        <v>55</v>
      </c>
      <c r="I8" s="10">
        <v>2</v>
      </c>
      <c r="J8" s="6" t="s">
        <v>55</v>
      </c>
      <c r="L8" s="6" t="s">
        <v>973</v>
      </c>
      <c r="N8" s="21">
        <v>4</v>
      </c>
    </row>
    <row r="9" spans="1:14" x14ac:dyDescent="0.2">
      <c r="A9" s="11" t="s">
        <v>940</v>
      </c>
      <c r="C9" s="11" t="s">
        <v>940</v>
      </c>
      <c r="E9" s="6" t="s">
        <v>51</v>
      </c>
      <c r="F9" s="6" t="s">
        <v>52</v>
      </c>
      <c r="G9" s="6" t="s">
        <v>53</v>
      </c>
      <c r="H9" s="6" t="s">
        <v>54</v>
      </c>
      <c r="I9" s="10">
        <v>2</v>
      </c>
      <c r="J9" s="6" t="s">
        <v>55</v>
      </c>
      <c r="L9" s="6" t="s">
        <v>67</v>
      </c>
      <c r="N9" s="21">
        <v>3</v>
      </c>
    </row>
    <row r="10" spans="1:14" x14ac:dyDescent="0.2">
      <c r="A10" s="11" t="s">
        <v>941</v>
      </c>
      <c r="C10" s="11" t="s">
        <v>941</v>
      </c>
      <c r="D10" s="6" t="s">
        <v>974</v>
      </c>
      <c r="E10" s="6" t="s">
        <v>51</v>
      </c>
      <c r="F10" s="6" t="s">
        <v>52</v>
      </c>
      <c r="G10" s="6" t="s">
        <v>53</v>
      </c>
      <c r="H10" s="6" t="s">
        <v>54</v>
      </c>
      <c r="I10" s="10">
        <v>2</v>
      </c>
      <c r="J10" s="6" t="s">
        <v>55</v>
      </c>
      <c r="L10" s="6" t="s">
        <v>975</v>
      </c>
      <c r="N10" s="21">
        <v>3</v>
      </c>
    </row>
    <row r="11" spans="1:14" x14ac:dyDescent="0.2">
      <c r="A11" s="11" t="s">
        <v>947</v>
      </c>
      <c r="C11" s="11" t="s">
        <v>947</v>
      </c>
      <c r="E11" s="6" t="s">
        <v>51</v>
      </c>
      <c r="F11" s="6" t="s">
        <v>52</v>
      </c>
      <c r="G11" s="6" t="s">
        <v>53</v>
      </c>
      <c r="H11" s="6" t="s">
        <v>55</v>
      </c>
      <c r="I11" s="10">
        <v>1</v>
      </c>
      <c r="J11" s="6" t="s">
        <v>55</v>
      </c>
      <c r="L11" s="6" t="s">
        <v>992</v>
      </c>
      <c r="N11" s="21">
        <v>3</v>
      </c>
    </row>
    <row r="12" spans="1:14" x14ac:dyDescent="0.2">
      <c r="A12" s="11"/>
      <c r="B12" s="6" t="s">
        <v>976</v>
      </c>
      <c r="C12" s="11" t="s">
        <v>948</v>
      </c>
      <c r="F12" s="6" t="s">
        <v>52</v>
      </c>
      <c r="G12" s="6" t="s">
        <v>53</v>
      </c>
      <c r="H12" s="6" t="s">
        <v>55</v>
      </c>
      <c r="I12" s="10">
        <v>2</v>
      </c>
      <c r="J12" s="6" t="s">
        <v>55</v>
      </c>
      <c r="L12" s="6" t="s">
        <v>977</v>
      </c>
      <c r="N12" s="21">
        <v>4</v>
      </c>
    </row>
    <row r="13" spans="1:14" s="8" customFormat="1" x14ac:dyDescent="0.2">
      <c r="A13" s="7" t="s">
        <v>957</v>
      </c>
      <c r="C13" s="7"/>
      <c r="I13" s="9">
        <f>AVERAGE(I14,I15,I16,I17)</f>
        <v>1.25</v>
      </c>
      <c r="N13" s="22">
        <f>AVERAGE(N14:N17)</f>
        <v>3.75</v>
      </c>
    </row>
    <row r="14" spans="1:14" x14ac:dyDescent="0.2">
      <c r="A14" s="6" t="s">
        <v>958</v>
      </c>
      <c r="C14" s="6" t="s">
        <v>958</v>
      </c>
      <c r="D14" s="6" t="s">
        <v>978</v>
      </c>
      <c r="E14" s="6" t="s">
        <v>51</v>
      </c>
      <c r="F14" s="6" t="s">
        <v>66</v>
      </c>
      <c r="G14" s="6" t="s">
        <v>53</v>
      </c>
      <c r="H14" s="6" t="s">
        <v>55</v>
      </c>
      <c r="I14" s="10">
        <v>1</v>
      </c>
      <c r="J14" s="6" t="s">
        <v>55</v>
      </c>
      <c r="L14" s="6" t="s">
        <v>68</v>
      </c>
      <c r="N14" s="21">
        <v>4</v>
      </c>
    </row>
    <row r="15" spans="1:14" x14ac:dyDescent="0.2">
      <c r="A15" s="6" t="s">
        <v>959</v>
      </c>
      <c r="C15" s="6" t="s">
        <v>959</v>
      </c>
      <c r="D15" s="6" t="s">
        <v>979</v>
      </c>
      <c r="E15" s="6" t="s">
        <v>51</v>
      </c>
      <c r="F15" s="6" t="s">
        <v>66</v>
      </c>
      <c r="G15" s="6" t="s">
        <v>53</v>
      </c>
      <c r="H15" s="6" t="s">
        <v>55</v>
      </c>
      <c r="I15" s="10">
        <v>1</v>
      </c>
      <c r="J15" s="6" t="s">
        <v>55</v>
      </c>
      <c r="L15" s="6" t="s">
        <v>980</v>
      </c>
      <c r="N15" s="21">
        <v>4</v>
      </c>
    </row>
    <row r="16" spans="1:14" x14ac:dyDescent="0.2">
      <c r="B16" s="6" t="s">
        <v>981</v>
      </c>
      <c r="C16" s="6" t="s">
        <v>960</v>
      </c>
      <c r="D16" s="6" t="s">
        <v>69</v>
      </c>
      <c r="E16" s="6" t="s">
        <v>51</v>
      </c>
      <c r="F16" s="6" t="s">
        <v>52</v>
      </c>
      <c r="G16" s="6" t="s">
        <v>53</v>
      </c>
      <c r="H16" s="6" t="s">
        <v>55</v>
      </c>
      <c r="I16" s="10">
        <v>2</v>
      </c>
      <c r="J16" s="6" t="s">
        <v>55</v>
      </c>
      <c r="L16" s="6" t="s">
        <v>982</v>
      </c>
      <c r="N16" s="21">
        <v>4</v>
      </c>
    </row>
    <row r="17" spans="1:14" x14ac:dyDescent="0.2">
      <c r="A17" s="11" t="s">
        <v>993</v>
      </c>
      <c r="C17" s="20" t="s">
        <v>994</v>
      </c>
      <c r="E17" s="6" t="s">
        <v>51</v>
      </c>
      <c r="F17" s="6" t="s">
        <v>52</v>
      </c>
      <c r="G17" s="6" t="s">
        <v>53</v>
      </c>
      <c r="H17" s="6" t="s">
        <v>55</v>
      </c>
      <c r="I17" s="10">
        <v>1</v>
      </c>
      <c r="J17" s="6" t="s">
        <v>55</v>
      </c>
      <c r="L17" s="6" t="s">
        <v>995</v>
      </c>
      <c r="N17" s="21">
        <v>3</v>
      </c>
    </row>
    <row r="18" spans="1:14" s="8" customFormat="1" x14ac:dyDescent="0.2">
      <c r="A18" s="7" t="s">
        <v>71</v>
      </c>
      <c r="C18" s="7"/>
      <c r="I18" s="9">
        <f>AVERAGE(I19,I20,I21)</f>
        <v>2</v>
      </c>
      <c r="N18" s="22">
        <f>AVERAGE(N19:N21)</f>
        <v>2.3333333333333335</v>
      </c>
    </row>
    <row r="19" spans="1:14" x14ac:dyDescent="0.2">
      <c r="A19" s="6" t="s">
        <v>72</v>
      </c>
      <c r="C19" s="6" t="s">
        <v>72</v>
      </c>
      <c r="D19" s="6" t="s">
        <v>73</v>
      </c>
      <c r="E19" s="6" t="s">
        <v>51</v>
      </c>
      <c r="F19" s="6" t="s">
        <v>66</v>
      </c>
      <c r="G19" s="6" t="s">
        <v>53</v>
      </c>
      <c r="H19" s="6" t="s">
        <v>55</v>
      </c>
      <c r="I19" s="10">
        <v>2</v>
      </c>
      <c r="J19" s="6" t="s">
        <v>55</v>
      </c>
      <c r="L19" s="6" t="s">
        <v>74</v>
      </c>
      <c r="N19" s="21">
        <v>3</v>
      </c>
    </row>
    <row r="20" spans="1:14" x14ac:dyDescent="0.2">
      <c r="A20" s="6" t="s">
        <v>75</v>
      </c>
      <c r="C20" s="6" t="s">
        <v>75</v>
      </c>
      <c r="E20" s="6" t="s">
        <v>51</v>
      </c>
      <c r="F20" s="6" t="s">
        <v>66</v>
      </c>
      <c r="G20" s="6" t="s">
        <v>53</v>
      </c>
      <c r="H20" s="6" t="s">
        <v>55</v>
      </c>
      <c r="I20" s="10">
        <v>2</v>
      </c>
      <c r="J20" s="6" t="s">
        <v>55</v>
      </c>
      <c r="L20" s="6" t="s">
        <v>76</v>
      </c>
      <c r="N20" s="21">
        <v>2</v>
      </c>
    </row>
    <row r="21" spans="1:14" x14ac:dyDescent="0.2">
      <c r="A21" s="6" t="s">
        <v>77</v>
      </c>
      <c r="C21" s="6" t="s">
        <v>77</v>
      </c>
      <c r="D21" s="6" t="s">
        <v>996</v>
      </c>
      <c r="E21" s="6" t="s">
        <v>51</v>
      </c>
      <c r="F21" s="6" t="s">
        <v>52</v>
      </c>
      <c r="G21" s="6" t="s">
        <v>53</v>
      </c>
      <c r="H21" s="6" t="s">
        <v>55</v>
      </c>
      <c r="I21" s="10">
        <v>2</v>
      </c>
      <c r="J21" s="6" t="s">
        <v>55</v>
      </c>
      <c r="L21" s="6" t="s">
        <v>78</v>
      </c>
      <c r="N21" s="21">
        <v>2</v>
      </c>
    </row>
    <row r="22" spans="1:14" s="8" customFormat="1" x14ac:dyDescent="0.2">
      <c r="A22" s="7" t="s">
        <v>79</v>
      </c>
      <c r="C22" s="7"/>
      <c r="D22" s="7"/>
      <c r="E22" s="7"/>
      <c r="I22" s="9">
        <f>AVERAGE(I23:I31)</f>
        <v>2.4444444444444446</v>
      </c>
      <c r="N22" s="22">
        <f>AVERAGE(N23:N31)</f>
        <v>3.1111111111111112</v>
      </c>
    </row>
    <row r="23" spans="1:14" x14ac:dyDescent="0.2">
      <c r="A23" s="6" t="s">
        <v>80</v>
      </c>
      <c r="C23" s="6" t="s">
        <v>80</v>
      </c>
      <c r="E23" s="6" t="s">
        <v>51</v>
      </c>
      <c r="F23" s="6" t="s">
        <v>52</v>
      </c>
      <c r="G23" s="6" t="s">
        <v>53</v>
      </c>
      <c r="H23" s="6" t="s">
        <v>55</v>
      </c>
      <c r="I23" s="10">
        <v>1</v>
      </c>
      <c r="J23" s="6" t="s">
        <v>55</v>
      </c>
      <c r="L23" s="6" t="s">
        <v>81</v>
      </c>
      <c r="N23" s="21">
        <v>3</v>
      </c>
    </row>
    <row r="24" spans="1:14" x14ac:dyDescent="0.2">
      <c r="A24" s="6" t="s">
        <v>82</v>
      </c>
      <c r="C24" s="6" t="s">
        <v>82</v>
      </c>
      <c r="D24" s="6" t="s">
        <v>83</v>
      </c>
      <c r="E24" s="6" t="s">
        <v>51</v>
      </c>
      <c r="F24" s="6" t="s">
        <v>66</v>
      </c>
      <c r="G24" s="6" t="s">
        <v>53</v>
      </c>
      <c r="H24" s="6" t="s">
        <v>55</v>
      </c>
      <c r="I24" s="10">
        <v>1</v>
      </c>
      <c r="J24" s="6" t="s">
        <v>55</v>
      </c>
      <c r="L24" s="6" t="s">
        <v>84</v>
      </c>
      <c r="N24" s="21">
        <v>2</v>
      </c>
    </row>
    <row r="25" spans="1:14" x14ac:dyDescent="0.2">
      <c r="A25" s="6" t="s">
        <v>85</v>
      </c>
      <c r="C25" s="6" t="s">
        <v>85</v>
      </c>
      <c r="E25" s="6" t="s">
        <v>51</v>
      </c>
      <c r="F25" s="6" t="s">
        <v>52</v>
      </c>
      <c r="G25" s="6" t="s">
        <v>86</v>
      </c>
      <c r="H25" s="6" t="s">
        <v>55</v>
      </c>
      <c r="I25" s="10">
        <v>2</v>
      </c>
      <c r="J25" s="6" t="s">
        <v>55</v>
      </c>
      <c r="L25" s="6" t="s">
        <v>87</v>
      </c>
      <c r="N25" s="21">
        <v>2</v>
      </c>
    </row>
    <row r="26" spans="1:14" x14ac:dyDescent="0.2">
      <c r="A26" s="6" t="s">
        <v>88</v>
      </c>
      <c r="C26" s="6" t="s">
        <v>88</v>
      </c>
      <c r="E26" s="6" t="s">
        <v>51</v>
      </c>
      <c r="F26" s="6" t="s">
        <v>52</v>
      </c>
      <c r="G26" s="6" t="s">
        <v>53</v>
      </c>
      <c r="H26" s="6" t="s">
        <v>55</v>
      </c>
      <c r="I26" s="10">
        <v>2</v>
      </c>
      <c r="J26" s="6" t="s">
        <v>55</v>
      </c>
      <c r="L26" s="6" t="s">
        <v>89</v>
      </c>
      <c r="N26" s="21">
        <v>2</v>
      </c>
    </row>
    <row r="27" spans="1:14" x14ac:dyDescent="0.2">
      <c r="A27" s="6" t="s">
        <v>90</v>
      </c>
      <c r="C27" s="6" t="s">
        <v>90</v>
      </c>
      <c r="E27" s="6" t="s">
        <v>51</v>
      </c>
      <c r="F27" s="6" t="s">
        <v>52</v>
      </c>
      <c r="G27" s="6" t="s">
        <v>53</v>
      </c>
      <c r="H27" s="6" t="s">
        <v>54</v>
      </c>
      <c r="I27" s="10">
        <v>2</v>
      </c>
      <c r="J27" s="6" t="s">
        <v>55</v>
      </c>
      <c r="L27" s="6" t="s">
        <v>91</v>
      </c>
      <c r="N27" s="21">
        <v>4</v>
      </c>
    </row>
    <row r="28" spans="1:14" x14ac:dyDescent="0.2">
      <c r="A28" s="6" t="s">
        <v>92</v>
      </c>
      <c r="C28" s="6" t="s">
        <v>92</v>
      </c>
      <c r="E28" s="6" t="s">
        <v>51</v>
      </c>
      <c r="F28" s="6" t="s">
        <v>52</v>
      </c>
      <c r="G28" s="6" t="s">
        <v>53</v>
      </c>
      <c r="H28" s="6" t="s">
        <v>55</v>
      </c>
      <c r="I28" s="10">
        <v>3</v>
      </c>
      <c r="J28" s="6" t="s">
        <v>54</v>
      </c>
      <c r="L28" s="6" t="s">
        <v>93</v>
      </c>
      <c r="N28" s="21">
        <v>4</v>
      </c>
    </row>
    <row r="29" spans="1:14" x14ac:dyDescent="0.2">
      <c r="A29" s="6" t="s">
        <v>94</v>
      </c>
      <c r="C29" s="6" t="s">
        <v>94</v>
      </c>
      <c r="D29" s="6" t="s">
        <v>95</v>
      </c>
      <c r="E29" s="6" t="s">
        <v>51</v>
      </c>
      <c r="F29" s="6" t="s">
        <v>52</v>
      </c>
      <c r="G29" s="6" t="s">
        <v>53</v>
      </c>
      <c r="H29" s="6" t="s">
        <v>54</v>
      </c>
      <c r="I29" s="10">
        <v>3</v>
      </c>
      <c r="J29" s="6" t="s">
        <v>54</v>
      </c>
      <c r="L29" s="6" t="s">
        <v>96</v>
      </c>
      <c r="N29" s="21">
        <v>4</v>
      </c>
    </row>
    <row r="30" spans="1:14" x14ac:dyDescent="0.2">
      <c r="A30" s="6" t="s">
        <v>97</v>
      </c>
      <c r="C30" s="6" t="s">
        <v>97</v>
      </c>
      <c r="E30" s="6" t="s">
        <v>51</v>
      </c>
      <c r="F30" s="6" t="s">
        <v>52</v>
      </c>
      <c r="G30" s="6" t="s">
        <v>53</v>
      </c>
      <c r="H30" s="6" t="s">
        <v>55</v>
      </c>
      <c r="I30" s="10">
        <v>4</v>
      </c>
      <c r="J30" s="6" t="s">
        <v>55</v>
      </c>
      <c r="L30" s="6" t="s">
        <v>98</v>
      </c>
      <c r="N30" s="21">
        <v>3</v>
      </c>
    </row>
    <row r="31" spans="1:14" x14ac:dyDescent="0.2">
      <c r="B31" s="6" t="s">
        <v>99</v>
      </c>
      <c r="C31" s="6" t="s">
        <v>100</v>
      </c>
      <c r="E31" s="6" t="s">
        <v>51</v>
      </c>
      <c r="F31" s="6" t="s">
        <v>66</v>
      </c>
      <c r="G31" s="6" t="s">
        <v>53</v>
      </c>
      <c r="H31" s="6" t="s">
        <v>55</v>
      </c>
      <c r="I31" s="10">
        <v>4</v>
      </c>
      <c r="J31" s="6" t="s">
        <v>55</v>
      </c>
      <c r="L31" s="6" t="s">
        <v>101</v>
      </c>
      <c r="N31" s="21">
        <v>4</v>
      </c>
    </row>
    <row r="32" spans="1:14" s="8" customFormat="1" x14ac:dyDescent="0.2">
      <c r="A32" s="7" t="s">
        <v>961</v>
      </c>
      <c r="C32" s="7"/>
      <c r="I32" s="9">
        <f>AVERAGE(I33:I36)</f>
        <v>1.75</v>
      </c>
      <c r="N32" s="22">
        <f>AVERAGE(N33:N36)</f>
        <v>3.25</v>
      </c>
    </row>
    <row r="33" spans="1:14" x14ac:dyDescent="0.2">
      <c r="A33" s="6" t="s">
        <v>962</v>
      </c>
      <c r="C33" s="6" t="s">
        <v>962</v>
      </c>
      <c r="D33" s="6" t="s">
        <v>983</v>
      </c>
      <c r="E33" s="6" t="s">
        <v>51</v>
      </c>
      <c r="F33" s="6" t="s">
        <v>52</v>
      </c>
      <c r="G33" s="6" t="s">
        <v>53</v>
      </c>
      <c r="H33" s="6" t="s">
        <v>55</v>
      </c>
      <c r="I33" s="10">
        <v>2</v>
      </c>
      <c r="J33" s="6" t="s">
        <v>55</v>
      </c>
      <c r="L33" s="6" t="s">
        <v>102</v>
      </c>
      <c r="N33" s="21">
        <v>3</v>
      </c>
    </row>
    <row r="34" spans="1:14" x14ac:dyDescent="0.2">
      <c r="A34" s="6" t="s">
        <v>963</v>
      </c>
      <c r="C34" s="6" t="s">
        <v>963</v>
      </c>
      <c r="E34" s="6" t="s">
        <v>51</v>
      </c>
      <c r="F34" s="6" t="s">
        <v>52</v>
      </c>
      <c r="G34" s="6" t="s">
        <v>53</v>
      </c>
      <c r="H34" s="6" t="s">
        <v>55</v>
      </c>
      <c r="I34" s="10">
        <v>2</v>
      </c>
      <c r="J34" s="6" t="s">
        <v>55</v>
      </c>
      <c r="L34" s="6" t="s">
        <v>103</v>
      </c>
      <c r="N34" s="21">
        <v>3</v>
      </c>
    </row>
    <row r="35" spans="1:14" x14ac:dyDescent="0.2">
      <c r="A35" s="6" t="s">
        <v>104</v>
      </c>
      <c r="C35" s="6" t="s">
        <v>104</v>
      </c>
      <c r="D35" s="6" t="s">
        <v>105</v>
      </c>
      <c r="E35" s="6" t="s">
        <v>51</v>
      </c>
      <c r="F35" s="6" t="s">
        <v>52</v>
      </c>
      <c r="G35" s="6" t="s">
        <v>53</v>
      </c>
      <c r="H35" s="6" t="s">
        <v>55</v>
      </c>
      <c r="I35" s="10">
        <v>1</v>
      </c>
      <c r="J35" s="6" t="s">
        <v>55</v>
      </c>
      <c r="L35" s="6" t="s">
        <v>106</v>
      </c>
      <c r="N35" s="21">
        <v>4</v>
      </c>
    </row>
    <row r="36" spans="1:14" x14ac:dyDescent="0.2">
      <c r="A36" s="6" t="s">
        <v>107</v>
      </c>
      <c r="C36" s="6" t="s">
        <v>107</v>
      </c>
      <c r="D36" s="6" t="s">
        <v>108</v>
      </c>
      <c r="E36" s="6" t="s">
        <v>51</v>
      </c>
      <c r="F36" s="6" t="s">
        <v>52</v>
      </c>
      <c r="G36" s="6" t="s">
        <v>53</v>
      </c>
      <c r="H36" s="6" t="s">
        <v>55</v>
      </c>
      <c r="I36" s="10">
        <v>2</v>
      </c>
      <c r="J36" s="6" t="s">
        <v>55</v>
      </c>
      <c r="L36" s="6" t="s">
        <v>109</v>
      </c>
      <c r="N36" s="21">
        <v>3</v>
      </c>
    </row>
    <row r="37" spans="1:14" s="8" customFormat="1" x14ac:dyDescent="0.2">
      <c r="A37" s="7" t="s">
        <v>938</v>
      </c>
      <c r="C37" s="7"/>
      <c r="I37" s="9">
        <f>AVERAGE(I38:I40)</f>
        <v>2</v>
      </c>
      <c r="N37" s="22">
        <f>AVERAGE(N38:N40)</f>
        <v>3.6666666666666665</v>
      </c>
    </row>
    <row r="38" spans="1:14" x14ac:dyDescent="0.2">
      <c r="A38" s="6" t="s">
        <v>949</v>
      </c>
      <c r="C38" s="6" t="s">
        <v>949</v>
      </c>
      <c r="D38" s="6" t="s">
        <v>984</v>
      </c>
      <c r="E38" s="6" t="s">
        <v>51</v>
      </c>
      <c r="F38" s="6" t="s">
        <v>52</v>
      </c>
      <c r="G38" s="6" t="s">
        <v>53</v>
      </c>
      <c r="H38" s="6" t="s">
        <v>55</v>
      </c>
      <c r="I38" s="10">
        <v>2</v>
      </c>
      <c r="J38" s="6" t="s">
        <v>55</v>
      </c>
      <c r="L38" s="6" t="s">
        <v>988</v>
      </c>
      <c r="N38" s="21">
        <v>4</v>
      </c>
    </row>
    <row r="39" spans="1:14" x14ac:dyDescent="0.2">
      <c r="A39" s="6" t="s">
        <v>950</v>
      </c>
      <c r="C39" s="6" t="s">
        <v>950</v>
      </c>
      <c r="D39" s="6" t="s">
        <v>985</v>
      </c>
      <c r="E39" s="6" t="s">
        <v>51</v>
      </c>
      <c r="F39" s="6" t="s">
        <v>52</v>
      </c>
      <c r="G39" s="6" t="s">
        <v>53</v>
      </c>
      <c r="H39" s="6" t="s">
        <v>55</v>
      </c>
      <c r="I39" s="10">
        <v>2</v>
      </c>
      <c r="J39" s="6" t="s">
        <v>55</v>
      </c>
      <c r="L39" s="6" t="s">
        <v>989</v>
      </c>
      <c r="N39" s="21">
        <v>3</v>
      </c>
    </row>
    <row r="40" spans="1:14" x14ac:dyDescent="0.2">
      <c r="A40" s="6" t="s">
        <v>954</v>
      </c>
      <c r="C40" s="6" t="s">
        <v>954</v>
      </c>
      <c r="E40" s="6" t="s">
        <v>51</v>
      </c>
      <c r="F40" s="6" t="s">
        <v>52</v>
      </c>
      <c r="G40" s="6" t="s">
        <v>53</v>
      </c>
      <c r="H40" s="6" t="s">
        <v>55</v>
      </c>
      <c r="I40" s="10">
        <v>2</v>
      </c>
      <c r="J40" s="6" t="s">
        <v>55</v>
      </c>
      <c r="L40" s="6" t="s">
        <v>110</v>
      </c>
      <c r="N40" s="21">
        <v>4</v>
      </c>
    </row>
    <row r="41" spans="1:14" s="8" customFormat="1" x14ac:dyDescent="0.2">
      <c r="A41" s="7" t="s">
        <v>939</v>
      </c>
      <c r="C41" s="7"/>
      <c r="I41" s="9">
        <f>AVERAGE(I42:I45)</f>
        <v>1.5</v>
      </c>
      <c r="N41" s="22">
        <f>AVERAGE(N42:N45)</f>
        <v>2.5</v>
      </c>
    </row>
    <row r="42" spans="1:14" x14ac:dyDescent="0.2">
      <c r="A42" s="6" t="s">
        <v>951</v>
      </c>
      <c r="C42" s="6" t="s">
        <v>951</v>
      </c>
      <c r="D42" s="6" t="s">
        <v>986</v>
      </c>
      <c r="E42" s="6" t="s">
        <v>51</v>
      </c>
      <c r="F42" s="6" t="s">
        <v>66</v>
      </c>
      <c r="G42" s="6" t="s">
        <v>53</v>
      </c>
      <c r="H42" s="6" t="s">
        <v>55</v>
      </c>
      <c r="I42" s="10">
        <v>2</v>
      </c>
      <c r="J42" s="6" t="s">
        <v>55</v>
      </c>
      <c r="L42" s="6" t="s">
        <v>111</v>
      </c>
      <c r="N42" s="21">
        <v>4</v>
      </c>
    </row>
    <row r="43" spans="1:14" x14ac:dyDescent="0.2">
      <c r="A43" s="6" t="s">
        <v>952</v>
      </c>
      <c r="C43" s="6" t="s">
        <v>952</v>
      </c>
      <c r="E43" s="6" t="s">
        <v>51</v>
      </c>
      <c r="F43" s="6" t="s">
        <v>52</v>
      </c>
      <c r="G43" s="6" t="s">
        <v>53</v>
      </c>
      <c r="H43" s="6" t="s">
        <v>55</v>
      </c>
      <c r="I43" s="10">
        <v>2</v>
      </c>
      <c r="J43" s="6" t="s">
        <v>55</v>
      </c>
      <c r="L43" s="6" t="s">
        <v>987</v>
      </c>
      <c r="N43" s="21">
        <v>2</v>
      </c>
    </row>
    <row r="44" spans="1:14" x14ac:dyDescent="0.2">
      <c r="A44" s="6" t="s">
        <v>955</v>
      </c>
      <c r="C44" s="6" t="s">
        <v>955</v>
      </c>
      <c r="D44" s="6" t="s">
        <v>112</v>
      </c>
      <c r="E44" s="6" t="s">
        <v>51</v>
      </c>
      <c r="F44" s="6" t="s">
        <v>66</v>
      </c>
      <c r="G44" s="6" t="s">
        <v>53</v>
      </c>
      <c r="H44" s="6" t="s">
        <v>55</v>
      </c>
      <c r="I44" s="10">
        <v>1</v>
      </c>
      <c r="J44" s="6" t="s">
        <v>55</v>
      </c>
      <c r="L44" s="6" t="s">
        <v>990</v>
      </c>
      <c r="N44" s="21">
        <v>2</v>
      </c>
    </row>
    <row r="45" spans="1:14" x14ac:dyDescent="0.2">
      <c r="A45" s="6" t="s">
        <v>956</v>
      </c>
      <c r="C45" s="6" t="s">
        <v>956</v>
      </c>
      <c r="D45" s="6" t="s">
        <v>113</v>
      </c>
      <c r="E45" s="6" t="s">
        <v>51</v>
      </c>
      <c r="F45" s="6" t="s">
        <v>66</v>
      </c>
      <c r="G45" s="6" t="s">
        <v>53</v>
      </c>
      <c r="H45" s="6" t="s">
        <v>55</v>
      </c>
      <c r="I45" s="10">
        <v>1</v>
      </c>
      <c r="J45" s="6" t="s">
        <v>55</v>
      </c>
      <c r="L45" s="6" t="s">
        <v>991</v>
      </c>
      <c r="N45" s="21">
        <v>2</v>
      </c>
    </row>
    <row r="46" spans="1:14" s="8" customFormat="1" x14ac:dyDescent="0.2">
      <c r="A46" s="7" t="s">
        <v>114</v>
      </c>
      <c r="C46" s="7"/>
      <c r="I46" s="9">
        <f>AVERAGE(I47:I50)</f>
        <v>1.75</v>
      </c>
      <c r="N46" s="22">
        <f>AVERAGE(N47:N50)</f>
        <v>2.25</v>
      </c>
    </row>
    <row r="47" spans="1:14" x14ac:dyDescent="0.2">
      <c r="A47" s="6" t="s">
        <v>115</v>
      </c>
      <c r="C47" s="6" t="s">
        <v>115</v>
      </c>
      <c r="E47" s="6" t="s">
        <v>51</v>
      </c>
      <c r="F47" s="6" t="s">
        <v>66</v>
      </c>
      <c r="G47" s="6" t="s">
        <v>53</v>
      </c>
      <c r="H47" s="6" t="s">
        <v>55</v>
      </c>
      <c r="I47" s="10">
        <v>1</v>
      </c>
      <c r="J47" s="6" t="s">
        <v>55</v>
      </c>
      <c r="L47" s="6" t="s">
        <v>116</v>
      </c>
      <c r="N47" s="21">
        <v>4</v>
      </c>
    </row>
    <row r="48" spans="1:14" x14ac:dyDescent="0.2">
      <c r="A48" s="6" t="s">
        <v>117</v>
      </c>
      <c r="C48" s="6" t="s">
        <v>117</v>
      </c>
      <c r="D48" s="6" t="s">
        <v>118</v>
      </c>
      <c r="E48" s="6" t="s">
        <v>51</v>
      </c>
      <c r="F48" s="6" t="s">
        <v>66</v>
      </c>
      <c r="G48" s="6" t="s">
        <v>53</v>
      </c>
      <c r="H48" s="6" t="s">
        <v>55</v>
      </c>
      <c r="I48" s="10">
        <v>1</v>
      </c>
      <c r="J48" s="6" t="s">
        <v>55</v>
      </c>
      <c r="L48" s="6" t="s">
        <v>119</v>
      </c>
      <c r="N48" s="21">
        <v>2</v>
      </c>
    </row>
    <row r="49" spans="1:14" x14ac:dyDescent="0.2">
      <c r="A49" s="6" t="s">
        <v>120</v>
      </c>
      <c r="C49" s="6" t="s">
        <v>120</v>
      </c>
      <c r="D49" s="6" t="s">
        <v>121</v>
      </c>
      <c r="E49" s="6" t="s">
        <v>51</v>
      </c>
      <c r="F49" s="6" t="s">
        <v>66</v>
      </c>
      <c r="G49" s="6" t="s">
        <v>53</v>
      </c>
      <c r="H49" s="6" t="s">
        <v>55</v>
      </c>
      <c r="I49" s="10">
        <v>2</v>
      </c>
      <c r="J49" s="6" t="s">
        <v>55</v>
      </c>
      <c r="L49" s="6" t="s">
        <v>122</v>
      </c>
      <c r="N49" s="21">
        <v>2</v>
      </c>
    </row>
    <row r="50" spans="1:14" x14ac:dyDescent="0.2">
      <c r="A50" s="6" t="s">
        <v>123</v>
      </c>
      <c r="C50" s="6" t="s">
        <v>123</v>
      </c>
      <c r="D50" s="6" t="s">
        <v>124</v>
      </c>
      <c r="E50" s="6" t="s">
        <v>51</v>
      </c>
      <c r="F50" s="6" t="s">
        <v>52</v>
      </c>
      <c r="G50" s="6" t="s">
        <v>53</v>
      </c>
      <c r="H50" s="6" t="s">
        <v>55</v>
      </c>
      <c r="I50" s="10">
        <v>3</v>
      </c>
      <c r="J50" s="6" t="s">
        <v>55</v>
      </c>
      <c r="L50" s="6" t="s">
        <v>125</v>
      </c>
      <c r="N50" s="21">
        <v>1</v>
      </c>
    </row>
    <row r="51" spans="1:14" s="8" customFormat="1" x14ac:dyDescent="0.2">
      <c r="A51" s="7" t="s">
        <v>126</v>
      </c>
      <c r="C51" s="7"/>
      <c r="I51" s="9">
        <f>AVERAGE(I52:I54)</f>
        <v>3.6666666666666665</v>
      </c>
      <c r="N51" s="22">
        <f>AVERAGE(N52:N54)</f>
        <v>3</v>
      </c>
    </row>
    <row r="52" spans="1:14" x14ac:dyDescent="0.2">
      <c r="A52" s="6" t="s">
        <v>127</v>
      </c>
      <c r="C52" s="6" t="s">
        <v>127</v>
      </c>
      <c r="E52" s="6" t="s">
        <v>51</v>
      </c>
      <c r="F52" s="6" t="s">
        <v>66</v>
      </c>
      <c r="G52" s="6" t="s">
        <v>53</v>
      </c>
      <c r="H52" s="6" t="s">
        <v>55</v>
      </c>
      <c r="I52" s="10">
        <v>3</v>
      </c>
      <c r="J52" s="6" t="s">
        <v>55</v>
      </c>
      <c r="L52" s="6" t="s">
        <v>128</v>
      </c>
      <c r="N52" s="21">
        <v>3</v>
      </c>
    </row>
    <row r="53" spans="1:14" x14ac:dyDescent="0.2">
      <c r="A53" s="6" t="s">
        <v>129</v>
      </c>
      <c r="C53" s="6" t="s">
        <v>129</v>
      </c>
      <c r="D53" s="6" t="s">
        <v>130</v>
      </c>
      <c r="E53" s="6" t="s">
        <v>51</v>
      </c>
      <c r="F53" s="6" t="s">
        <v>66</v>
      </c>
      <c r="G53" s="6" t="s">
        <v>53</v>
      </c>
      <c r="H53" s="6" t="s">
        <v>55</v>
      </c>
      <c r="I53" s="10">
        <v>4</v>
      </c>
      <c r="J53" s="6" t="s">
        <v>55</v>
      </c>
      <c r="L53" s="6" t="s">
        <v>131</v>
      </c>
      <c r="N53" s="21">
        <v>3</v>
      </c>
    </row>
    <row r="54" spans="1:14" x14ac:dyDescent="0.2">
      <c r="A54" s="6" t="s">
        <v>132</v>
      </c>
      <c r="C54" s="6" t="s">
        <v>132</v>
      </c>
      <c r="E54" s="6" t="s">
        <v>51</v>
      </c>
      <c r="F54" s="6" t="s">
        <v>66</v>
      </c>
      <c r="G54" s="6" t="s">
        <v>53</v>
      </c>
      <c r="H54" s="6" t="s">
        <v>55</v>
      </c>
      <c r="I54" s="10">
        <v>4</v>
      </c>
      <c r="J54" s="6" t="s">
        <v>55</v>
      </c>
      <c r="L54" s="6" t="s">
        <v>133</v>
      </c>
      <c r="N54" s="21">
        <v>3</v>
      </c>
    </row>
    <row r="55" spans="1:14" s="8" customFormat="1" x14ac:dyDescent="0.2">
      <c r="A55" s="7" t="s">
        <v>134</v>
      </c>
      <c r="C55" s="7"/>
      <c r="I55" s="9">
        <f>AVERAGE(I56:I59)</f>
        <v>2.75</v>
      </c>
      <c r="N55" s="22">
        <f>AVERAGE(N56:N59)</f>
        <v>3.75</v>
      </c>
    </row>
    <row r="56" spans="1:14" x14ac:dyDescent="0.2">
      <c r="A56" s="6" t="s">
        <v>135</v>
      </c>
      <c r="C56" s="6" t="s">
        <v>135</v>
      </c>
      <c r="E56" s="6" t="s">
        <v>51</v>
      </c>
      <c r="F56" s="6" t="s">
        <v>52</v>
      </c>
      <c r="G56" s="6" t="s">
        <v>53</v>
      </c>
      <c r="H56" s="6" t="s">
        <v>55</v>
      </c>
      <c r="I56" s="10">
        <v>1</v>
      </c>
      <c r="J56" s="6" t="s">
        <v>55</v>
      </c>
      <c r="L56" s="6" t="s">
        <v>136</v>
      </c>
      <c r="N56" s="21">
        <v>4</v>
      </c>
    </row>
    <row r="57" spans="1:14" x14ac:dyDescent="0.2">
      <c r="A57" s="6" t="s">
        <v>137</v>
      </c>
      <c r="C57" s="6" t="s">
        <v>137</v>
      </c>
      <c r="E57" s="6" t="s">
        <v>51</v>
      </c>
      <c r="F57" s="6" t="s">
        <v>52</v>
      </c>
      <c r="G57" s="6" t="s">
        <v>53</v>
      </c>
      <c r="H57" s="6" t="s">
        <v>55</v>
      </c>
      <c r="I57" s="10">
        <v>2</v>
      </c>
      <c r="J57" s="6" t="s">
        <v>55</v>
      </c>
      <c r="L57" s="6" t="s">
        <v>138</v>
      </c>
      <c r="N57" s="21">
        <v>3</v>
      </c>
    </row>
    <row r="58" spans="1:14" x14ac:dyDescent="0.2">
      <c r="A58" s="6" t="s">
        <v>139</v>
      </c>
      <c r="C58" s="6" t="s">
        <v>139</v>
      </c>
      <c r="D58" s="6" t="s">
        <v>140</v>
      </c>
      <c r="E58" s="6" t="s">
        <v>51</v>
      </c>
      <c r="F58" s="6" t="s">
        <v>52</v>
      </c>
      <c r="G58" s="6" t="s">
        <v>53</v>
      </c>
      <c r="H58" s="6" t="s">
        <v>55</v>
      </c>
      <c r="I58" s="10">
        <v>4</v>
      </c>
      <c r="J58" s="6" t="s">
        <v>55</v>
      </c>
      <c r="L58" s="6" t="s">
        <v>141</v>
      </c>
      <c r="N58" s="21">
        <v>4</v>
      </c>
    </row>
    <row r="59" spans="1:14" x14ac:dyDescent="0.2">
      <c r="A59" s="6" t="s">
        <v>142</v>
      </c>
      <c r="C59" s="6" t="s">
        <v>142</v>
      </c>
      <c r="D59" s="6" t="s">
        <v>143</v>
      </c>
      <c r="E59" s="6" t="s">
        <v>51</v>
      </c>
      <c r="F59" s="6" t="s">
        <v>52</v>
      </c>
      <c r="G59" s="6" t="s">
        <v>53</v>
      </c>
      <c r="H59" s="6" t="s">
        <v>55</v>
      </c>
      <c r="I59" s="10">
        <v>4</v>
      </c>
      <c r="J59" s="6" t="s">
        <v>55</v>
      </c>
      <c r="L59" s="6" t="s">
        <v>144</v>
      </c>
      <c r="N59" s="21">
        <v>4</v>
      </c>
    </row>
    <row r="60" spans="1:14" s="8" customFormat="1" x14ac:dyDescent="0.2">
      <c r="A60" s="7" t="s">
        <v>145</v>
      </c>
      <c r="C60" s="7"/>
      <c r="I60" s="9">
        <f>AVERAGE(I61:I64)</f>
        <v>2.75</v>
      </c>
      <c r="N60" s="22">
        <f>AVERAGE(N61:N64)</f>
        <v>3.75</v>
      </c>
    </row>
    <row r="61" spans="1:14" x14ac:dyDescent="0.2">
      <c r="A61" s="6" t="s">
        <v>146</v>
      </c>
      <c r="C61" s="6" t="s">
        <v>146</v>
      </c>
      <c r="E61" s="6" t="s">
        <v>51</v>
      </c>
      <c r="F61" s="6" t="s">
        <v>52</v>
      </c>
      <c r="G61" s="6" t="s">
        <v>53</v>
      </c>
      <c r="H61" s="6" t="s">
        <v>55</v>
      </c>
      <c r="I61" s="10">
        <v>1</v>
      </c>
      <c r="J61" s="6" t="s">
        <v>55</v>
      </c>
      <c r="L61" s="6" t="s">
        <v>147</v>
      </c>
      <c r="N61" s="21">
        <v>4</v>
      </c>
    </row>
    <row r="62" spans="1:14" x14ac:dyDescent="0.2">
      <c r="A62" s="6" t="s">
        <v>148</v>
      </c>
      <c r="C62" s="6" t="s">
        <v>148</v>
      </c>
      <c r="E62" s="6" t="s">
        <v>51</v>
      </c>
      <c r="F62" s="6" t="s">
        <v>52</v>
      </c>
      <c r="G62" s="6" t="s">
        <v>53</v>
      </c>
      <c r="H62" s="6" t="s">
        <v>55</v>
      </c>
      <c r="I62" s="10">
        <v>2</v>
      </c>
      <c r="J62" s="6" t="s">
        <v>55</v>
      </c>
      <c r="L62" s="6" t="s">
        <v>149</v>
      </c>
      <c r="N62" s="21">
        <v>3</v>
      </c>
    </row>
    <row r="63" spans="1:14" x14ac:dyDescent="0.2">
      <c r="A63" s="6" t="s">
        <v>150</v>
      </c>
      <c r="C63" s="6" t="s">
        <v>150</v>
      </c>
      <c r="D63" s="6" t="s">
        <v>140</v>
      </c>
      <c r="E63" s="6" t="s">
        <v>51</v>
      </c>
      <c r="F63" s="6" t="s">
        <v>52</v>
      </c>
      <c r="G63" s="6" t="s">
        <v>53</v>
      </c>
      <c r="H63" s="6" t="s">
        <v>55</v>
      </c>
      <c r="I63" s="10">
        <v>4</v>
      </c>
      <c r="J63" s="6" t="s">
        <v>55</v>
      </c>
      <c r="L63" s="6" t="s">
        <v>151</v>
      </c>
      <c r="N63" s="21">
        <v>4</v>
      </c>
    </row>
    <row r="64" spans="1:14" x14ac:dyDescent="0.2">
      <c r="A64" s="6" t="s">
        <v>152</v>
      </c>
      <c r="C64" s="6" t="s">
        <v>152</v>
      </c>
      <c r="D64" s="6" t="s">
        <v>153</v>
      </c>
      <c r="E64" s="6" t="s">
        <v>51</v>
      </c>
      <c r="F64" s="6" t="s">
        <v>52</v>
      </c>
      <c r="G64" s="6" t="s">
        <v>53</v>
      </c>
      <c r="H64" s="6" t="s">
        <v>55</v>
      </c>
      <c r="I64" s="10">
        <v>4</v>
      </c>
      <c r="J64" s="6" t="s">
        <v>55</v>
      </c>
      <c r="L64" s="6" t="s">
        <v>154</v>
      </c>
      <c r="N64" s="21">
        <v>4</v>
      </c>
    </row>
    <row r="65" spans="1:14" s="8" customFormat="1" x14ac:dyDescent="0.2">
      <c r="A65" s="7" t="s">
        <v>155</v>
      </c>
      <c r="C65" s="7"/>
      <c r="I65" s="9">
        <f>AVERAGE(I66:I71)</f>
        <v>1.6666666666666667</v>
      </c>
      <c r="N65" s="22">
        <f>AVERAGE(N66:N71)</f>
        <v>3.3333333333333335</v>
      </c>
    </row>
    <row r="66" spans="1:14" x14ac:dyDescent="0.2">
      <c r="A66" s="6" t="s">
        <v>156</v>
      </c>
      <c r="C66" s="6" t="s">
        <v>156</v>
      </c>
      <c r="D66" s="6" t="s">
        <v>157</v>
      </c>
      <c r="E66" s="6" t="s">
        <v>51</v>
      </c>
      <c r="F66" s="6" t="s">
        <v>52</v>
      </c>
      <c r="G66" s="6" t="s">
        <v>53</v>
      </c>
      <c r="H66" s="6" t="s">
        <v>55</v>
      </c>
      <c r="I66" s="10">
        <v>1</v>
      </c>
      <c r="J66" s="6" t="s">
        <v>55</v>
      </c>
      <c r="L66" s="6" t="s">
        <v>158</v>
      </c>
      <c r="N66" s="21">
        <v>3</v>
      </c>
    </row>
    <row r="67" spans="1:14" x14ac:dyDescent="0.2">
      <c r="A67" s="6" t="s">
        <v>159</v>
      </c>
      <c r="C67" s="6" t="s">
        <v>159</v>
      </c>
      <c r="D67" s="6" t="s">
        <v>160</v>
      </c>
      <c r="E67" s="6" t="s">
        <v>51</v>
      </c>
      <c r="F67" s="6" t="s">
        <v>52</v>
      </c>
      <c r="G67" s="6" t="s">
        <v>53</v>
      </c>
      <c r="H67" s="6" t="s">
        <v>55</v>
      </c>
      <c r="I67" s="10">
        <v>1</v>
      </c>
      <c r="J67" s="6" t="s">
        <v>55</v>
      </c>
      <c r="L67" s="6" t="s">
        <v>161</v>
      </c>
      <c r="N67" s="21">
        <v>4</v>
      </c>
    </row>
    <row r="68" spans="1:14" x14ac:dyDescent="0.2">
      <c r="A68" s="6" t="s">
        <v>162</v>
      </c>
      <c r="C68" s="6" t="s">
        <v>162</v>
      </c>
      <c r="E68" s="6" t="s">
        <v>51</v>
      </c>
      <c r="F68" s="6" t="s">
        <v>52</v>
      </c>
      <c r="G68" s="6" t="s">
        <v>53</v>
      </c>
      <c r="H68" s="6" t="s">
        <v>55</v>
      </c>
      <c r="I68" s="10">
        <v>2</v>
      </c>
      <c r="J68" s="6" t="s">
        <v>55</v>
      </c>
      <c r="L68" s="6" t="s">
        <v>163</v>
      </c>
      <c r="N68" s="21">
        <v>3</v>
      </c>
    </row>
    <row r="69" spans="1:14" x14ac:dyDescent="0.2">
      <c r="A69" s="6" t="s">
        <v>164</v>
      </c>
      <c r="C69" s="6" t="s">
        <v>164</v>
      </c>
      <c r="D69" s="6" t="s">
        <v>165</v>
      </c>
      <c r="E69" s="6" t="s">
        <v>51</v>
      </c>
      <c r="F69" s="6" t="s">
        <v>52</v>
      </c>
      <c r="G69" s="6" t="s">
        <v>53</v>
      </c>
      <c r="H69" s="6" t="s">
        <v>55</v>
      </c>
      <c r="I69" s="10">
        <v>2</v>
      </c>
      <c r="J69" s="6" t="s">
        <v>55</v>
      </c>
      <c r="L69" s="6" t="s">
        <v>166</v>
      </c>
      <c r="N69" s="21">
        <v>4</v>
      </c>
    </row>
    <row r="70" spans="1:14" x14ac:dyDescent="0.2">
      <c r="A70" s="6" t="s">
        <v>167</v>
      </c>
      <c r="C70" s="6" t="s">
        <v>167</v>
      </c>
      <c r="D70" s="6" t="s">
        <v>168</v>
      </c>
      <c r="E70" s="6" t="s">
        <v>51</v>
      </c>
      <c r="F70" s="6" t="s">
        <v>66</v>
      </c>
      <c r="G70" s="6" t="s">
        <v>53</v>
      </c>
      <c r="H70" s="6" t="s">
        <v>55</v>
      </c>
      <c r="I70" s="10">
        <v>1</v>
      </c>
      <c r="J70" s="6" t="s">
        <v>55</v>
      </c>
      <c r="L70" s="6" t="s">
        <v>169</v>
      </c>
      <c r="N70" s="21">
        <v>4</v>
      </c>
    </row>
    <row r="71" spans="1:14" x14ac:dyDescent="0.2">
      <c r="A71" s="6" t="s">
        <v>170</v>
      </c>
      <c r="C71" s="6" t="s">
        <v>170</v>
      </c>
      <c r="D71" s="6" t="s">
        <v>171</v>
      </c>
      <c r="E71" s="6" t="s">
        <v>51</v>
      </c>
      <c r="F71" s="6" t="s">
        <v>52</v>
      </c>
      <c r="G71" s="6" t="s">
        <v>53</v>
      </c>
      <c r="H71" s="6" t="s">
        <v>55</v>
      </c>
      <c r="I71" s="10">
        <v>3</v>
      </c>
      <c r="J71" s="6" t="s">
        <v>55</v>
      </c>
      <c r="L71" s="6" t="s">
        <v>172</v>
      </c>
      <c r="N71" s="21">
        <v>2</v>
      </c>
    </row>
    <row r="72" spans="1:14" s="8" customFormat="1" x14ac:dyDescent="0.2">
      <c r="A72" s="7" t="s">
        <v>173</v>
      </c>
      <c r="C72" s="7"/>
      <c r="I72" s="9">
        <f>AVERAGE(I73:I79)</f>
        <v>2.8571428571428572</v>
      </c>
      <c r="N72" s="22">
        <f>AVERAGE(N73:N79)</f>
        <v>3.1428571428571428</v>
      </c>
    </row>
    <row r="73" spans="1:14" x14ac:dyDescent="0.2">
      <c r="A73" s="6" t="s">
        <v>174</v>
      </c>
      <c r="C73" s="6" t="s">
        <v>174</v>
      </c>
      <c r="D73" s="6" t="s">
        <v>175</v>
      </c>
      <c r="E73" s="6" t="s">
        <v>51</v>
      </c>
      <c r="F73" s="6" t="s">
        <v>66</v>
      </c>
      <c r="G73" s="6" t="s">
        <v>53</v>
      </c>
      <c r="H73" s="6" t="s">
        <v>55</v>
      </c>
      <c r="I73" s="10">
        <v>1</v>
      </c>
      <c r="J73" s="6" t="s">
        <v>55</v>
      </c>
      <c r="L73" s="6" t="s">
        <v>176</v>
      </c>
      <c r="N73" s="21">
        <v>3</v>
      </c>
    </row>
    <row r="74" spans="1:14" x14ac:dyDescent="0.2">
      <c r="A74" s="6" t="s">
        <v>177</v>
      </c>
      <c r="C74" s="6" t="s">
        <v>177</v>
      </c>
      <c r="D74" s="6" t="s">
        <v>178</v>
      </c>
      <c r="E74" s="6" t="s">
        <v>51</v>
      </c>
      <c r="F74" s="6" t="s">
        <v>66</v>
      </c>
      <c r="G74" s="6" t="s">
        <v>53</v>
      </c>
      <c r="H74" s="6" t="s">
        <v>55</v>
      </c>
      <c r="I74" s="10">
        <v>2</v>
      </c>
      <c r="J74" s="6" t="s">
        <v>55</v>
      </c>
      <c r="L74" s="6" t="s">
        <v>179</v>
      </c>
      <c r="N74" s="21">
        <v>2</v>
      </c>
    </row>
    <row r="75" spans="1:14" x14ac:dyDescent="0.2">
      <c r="A75" s="6" t="s">
        <v>180</v>
      </c>
      <c r="C75" s="6" t="s">
        <v>180</v>
      </c>
      <c r="E75" s="6" t="s">
        <v>51</v>
      </c>
      <c r="F75" s="6" t="s">
        <v>52</v>
      </c>
      <c r="G75" s="6" t="s">
        <v>86</v>
      </c>
      <c r="H75" s="6" t="s">
        <v>54</v>
      </c>
      <c r="I75" s="10">
        <v>3</v>
      </c>
      <c r="J75" s="6" t="s">
        <v>55</v>
      </c>
      <c r="L75" s="6" t="s">
        <v>181</v>
      </c>
      <c r="N75" s="21">
        <v>2</v>
      </c>
    </row>
    <row r="76" spans="1:14" x14ac:dyDescent="0.2">
      <c r="A76" s="6" t="s">
        <v>182</v>
      </c>
      <c r="C76" s="6" t="s">
        <v>182</v>
      </c>
      <c r="E76" s="6" t="s">
        <v>51</v>
      </c>
      <c r="F76" s="6" t="s">
        <v>52</v>
      </c>
      <c r="G76" s="6" t="s">
        <v>53</v>
      </c>
      <c r="H76" s="6" t="s">
        <v>55</v>
      </c>
      <c r="I76" s="10">
        <v>4</v>
      </c>
      <c r="J76" s="6" t="s">
        <v>55</v>
      </c>
      <c r="L76" s="6" t="s">
        <v>183</v>
      </c>
      <c r="N76" s="21">
        <v>4</v>
      </c>
    </row>
    <row r="77" spans="1:14" x14ac:dyDescent="0.2">
      <c r="A77" s="6" t="s">
        <v>184</v>
      </c>
      <c r="C77" s="6" t="s">
        <v>184</v>
      </c>
      <c r="D77" s="6" t="s">
        <v>185</v>
      </c>
      <c r="E77" s="6" t="s">
        <v>51</v>
      </c>
      <c r="F77" s="6" t="s">
        <v>52</v>
      </c>
      <c r="G77" s="6" t="s">
        <v>53</v>
      </c>
      <c r="H77" s="6" t="s">
        <v>54</v>
      </c>
      <c r="I77" s="10">
        <v>3</v>
      </c>
      <c r="J77" s="6" t="s">
        <v>55</v>
      </c>
      <c r="L77" s="6" t="s">
        <v>186</v>
      </c>
      <c r="N77" s="21">
        <v>4</v>
      </c>
    </row>
    <row r="78" spans="1:14" x14ac:dyDescent="0.2">
      <c r="A78" s="6" t="s">
        <v>187</v>
      </c>
      <c r="C78" s="6" t="s">
        <v>187</v>
      </c>
      <c r="E78" s="6" t="s">
        <v>51</v>
      </c>
      <c r="F78" s="6" t="s">
        <v>52</v>
      </c>
      <c r="G78" s="6" t="s">
        <v>53</v>
      </c>
      <c r="H78" s="6" t="s">
        <v>55</v>
      </c>
      <c r="I78" s="10">
        <v>3</v>
      </c>
      <c r="J78" s="6" t="s">
        <v>55</v>
      </c>
      <c r="L78" s="6" t="s">
        <v>188</v>
      </c>
      <c r="N78" s="21">
        <v>3</v>
      </c>
    </row>
    <row r="79" spans="1:14" x14ac:dyDescent="0.2">
      <c r="A79" s="6" t="s">
        <v>189</v>
      </c>
      <c r="C79" s="6" t="s">
        <v>189</v>
      </c>
      <c r="E79" s="6" t="s">
        <v>51</v>
      </c>
      <c r="F79" s="6" t="s">
        <v>52</v>
      </c>
      <c r="G79" s="6" t="s">
        <v>53</v>
      </c>
      <c r="H79" s="6" t="s">
        <v>55</v>
      </c>
      <c r="I79" s="10">
        <v>4</v>
      </c>
      <c r="J79" s="6" t="s">
        <v>55</v>
      </c>
      <c r="L79" s="6" t="s">
        <v>190</v>
      </c>
      <c r="N79" s="21">
        <v>4</v>
      </c>
    </row>
    <row r="80" spans="1:14" s="8" customFormat="1" x14ac:dyDescent="0.2">
      <c r="A80" s="7" t="s">
        <v>191</v>
      </c>
      <c r="C80" s="7"/>
      <c r="I80" s="9">
        <f>AVERAGE(I81:I86)</f>
        <v>2.1666666666666665</v>
      </c>
      <c r="N80" s="22">
        <f>AVERAGE(N81:N86)</f>
        <v>2.1666666666666665</v>
      </c>
    </row>
    <row r="81" spans="1:14" x14ac:dyDescent="0.2">
      <c r="A81" s="6" t="s">
        <v>192</v>
      </c>
      <c r="C81" s="6" t="s">
        <v>192</v>
      </c>
      <c r="D81" s="6" t="s">
        <v>193</v>
      </c>
      <c r="E81" s="6" t="s">
        <v>51</v>
      </c>
      <c r="F81" s="6" t="s">
        <v>52</v>
      </c>
      <c r="G81" s="6" t="s">
        <v>53</v>
      </c>
      <c r="H81" s="6" t="s">
        <v>55</v>
      </c>
      <c r="I81" s="10">
        <v>1</v>
      </c>
      <c r="J81" s="6" t="s">
        <v>55</v>
      </c>
      <c r="L81" s="6" t="s">
        <v>194</v>
      </c>
      <c r="N81" s="21">
        <v>2</v>
      </c>
    </row>
    <row r="82" spans="1:14" x14ac:dyDescent="0.2">
      <c r="A82" s="6" t="s">
        <v>195</v>
      </c>
      <c r="C82" s="6" t="s">
        <v>195</v>
      </c>
      <c r="E82" s="6" t="s">
        <v>51</v>
      </c>
      <c r="F82" s="6" t="s">
        <v>52</v>
      </c>
      <c r="G82" s="6" t="s">
        <v>53</v>
      </c>
      <c r="H82" s="6" t="s">
        <v>55</v>
      </c>
      <c r="I82" s="10">
        <v>1</v>
      </c>
      <c r="J82" s="6" t="s">
        <v>55</v>
      </c>
      <c r="L82" s="6" t="s">
        <v>196</v>
      </c>
      <c r="N82" s="21">
        <v>3</v>
      </c>
    </row>
    <row r="83" spans="1:14" x14ac:dyDescent="0.2">
      <c r="A83" s="6" t="s">
        <v>197</v>
      </c>
      <c r="C83" s="6" t="s">
        <v>197</v>
      </c>
      <c r="D83" s="6" t="s">
        <v>198</v>
      </c>
      <c r="E83" s="6" t="s">
        <v>51</v>
      </c>
      <c r="F83" s="6" t="s">
        <v>52</v>
      </c>
      <c r="G83" s="6" t="s">
        <v>53</v>
      </c>
      <c r="H83" s="6" t="s">
        <v>55</v>
      </c>
      <c r="I83" s="10">
        <v>2</v>
      </c>
      <c r="J83" s="6" t="s">
        <v>55</v>
      </c>
      <c r="L83" s="6" t="s">
        <v>199</v>
      </c>
      <c r="N83" s="21">
        <v>1</v>
      </c>
    </row>
    <row r="84" spans="1:14" x14ac:dyDescent="0.2">
      <c r="A84" s="6" t="s">
        <v>200</v>
      </c>
      <c r="C84" s="6" t="s">
        <v>200</v>
      </c>
      <c r="D84" s="6" t="s">
        <v>201</v>
      </c>
      <c r="E84" s="6" t="s">
        <v>51</v>
      </c>
      <c r="F84" s="6" t="s">
        <v>52</v>
      </c>
      <c r="G84" s="6" t="s">
        <v>53</v>
      </c>
      <c r="H84" s="6" t="s">
        <v>55</v>
      </c>
      <c r="I84" s="10">
        <v>2</v>
      </c>
      <c r="J84" s="6" t="s">
        <v>55</v>
      </c>
      <c r="L84" s="6" t="s">
        <v>202</v>
      </c>
      <c r="N84" s="21">
        <v>2</v>
      </c>
    </row>
    <row r="85" spans="1:14" x14ac:dyDescent="0.2">
      <c r="A85" s="6" t="s">
        <v>203</v>
      </c>
      <c r="C85" s="6" t="s">
        <v>203</v>
      </c>
      <c r="D85" s="6" t="s">
        <v>204</v>
      </c>
      <c r="E85" s="6" t="s">
        <v>51</v>
      </c>
      <c r="F85" s="6" t="s">
        <v>52</v>
      </c>
      <c r="G85" s="6" t="s">
        <v>53</v>
      </c>
      <c r="H85" s="6" t="s">
        <v>55</v>
      </c>
      <c r="I85" s="10">
        <v>3</v>
      </c>
      <c r="J85" s="6" t="s">
        <v>55</v>
      </c>
      <c r="L85" s="6" t="s">
        <v>205</v>
      </c>
      <c r="N85" s="21">
        <v>1</v>
      </c>
    </row>
    <row r="86" spans="1:14" x14ac:dyDescent="0.2">
      <c r="B86" s="6" t="s">
        <v>206</v>
      </c>
      <c r="C86" s="6" t="s">
        <v>207</v>
      </c>
      <c r="D86" s="6" t="s">
        <v>208</v>
      </c>
      <c r="E86" s="6" t="s">
        <v>51</v>
      </c>
      <c r="F86" s="6" t="s">
        <v>52</v>
      </c>
      <c r="G86" s="6" t="s">
        <v>53</v>
      </c>
      <c r="H86" s="6" t="s">
        <v>55</v>
      </c>
      <c r="I86" s="10">
        <v>4</v>
      </c>
      <c r="J86" s="6" t="s">
        <v>55</v>
      </c>
      <c r="L86" s="6" t="s">
        <v>209</v>
      </c>
      <c r="N86" s="21">
        <v>4</v>
      </c>
    </row>
    <row r="87" spans="1:14" s="8" customFormat="1" x14ac:dyDescent="0.2">
      <c r="A87" s="7" t="s">
        <v>210</v>
      </c>
      <c r="C87" s="7"/>
      <c r="I87" s="9">
        <f>AVERAGE(I88:I91)</f>
        <v>1.75</v>
      </c>
      <c r="N87" s="22">
        <f>AVERAGE(N88:N91)</f>
        <v>3.5</v>
      </c>
    </row>
    <row r="88" spans="1:14" x14ac:dyDescent="0.2">
      <c r="A88" s="6" t="s">
        <v>211</v>
      </c>
      <c r="C88" s="6" t="s">
        <v>211</v>
      </c>
      <c r="D88" s="6" t="s">
        <v>212</v>
      </c>
      <c r="E88" s="6" t="s">
        <v>51</v>
      </c>
      <c r="F88" s="6" t="s">
        <v>52</v>
      </c>
      <c r="G88" s="6" t="s">
        <v>53</v>
      </c>
      <c r="H88" s="6" t="s">
        <v>55</v>
      </c>
      <c r="I88" s="10">
        <v>1</v>
      </c>
      <c r="J88" s="6" t="s">
        <v>55</v>
      </c>
      <c r="L88" s="6" t="s">
        <v>213</v>
      </c>
      <c r="N88" s="21">
        <v>3</v>
      </c>
    </row>
    <row r="89" spans="1:14" x14ac:dyDescent="0.2">
      <c r="A89" s="6" t="s">
        <v>214</v>
      </c>
      <c r="C89" s="6" t="s">
        <v>214</v>
      </c>
      <c r="E89" s="6" t="s">
        <v>51</v>
      </c>
      <c r="F89" s="6" t="s">
        <v>52</v>
      </c>
      <c r="G89" s="6" t="s">
        <v>53</v>
      </c>
      <c r="H89" s="6" t="s">
        <v>55</v>
      </c>
      <c r="I89" s="10">
        <v>1</v>
      </c>
      <c r="J89" s="6" t="s">
        <v>55</v>
      </c>
      <c r="L89" s="6" t="s">
        <v>215</v>
      </c>
      <c r="N89" s="21">
        <v>4</v>
      </c>
    </row>
    <row r="90" spans="1:14" x14ac:dyDescent="0.2">
      <c r="A90" s="6" t="s">
        <v>216</v>
      </c>
      <c r="C90" s="6" t="s">
        <v>216</v>
      </c>
      <c r="E90" s="6" t="s">
        <v>51</v>
      </c>
      <c r="F90" s="6" t="s">
        <v>52</v>
      </c>
      <c r="G90" s="6" t="s">
        <v>53</v>
      </c>
      <c r="H90" s="6" t="s">
        <v>55</v>
      </c>
      <c r="I90" s="10">
        <v>2</v>
      </c>
      <c r="J90" s="6" t="s">
        <v>55</v>
      </c>
      <c r="L90" s="6" t="s">
        <v>217</v>
      </c>
      <c r="N90" s="21">
        <v>3</v>
      </c>
    </row>
    <row r="91" spans="1:14" x14ac:dyDescent="0.2">
      <c r="A91" s="6" t="s">
        <v>218</v>
      </c>
      <c r="C91" s="6" t="s">
        <v>218</v>
      </c>
      <c r="E91" s="6" t="s">
        <v>51</v>
      </c>
      <c r="F91" s="6" t="s">
        <v>52</v>
      </c>
      <c r="G91" s="6" t="s">
        <v>53</v>
      </c>
      <c r="H91" s="6" t="s">
        <v>55</v>
      </c>
      <c r="I91" s="10">
        <v>3</v>
      </c>
      <c r="J91" s="6" t="s">
        <v>55</v>
      </c>
      <c r="L91" s="6" t="s">
        <v>219</v>
      </c>
      <c r="N91" s="21">
        <v>4</v>
      </c>
    </row>
    <row r="92" spans="1:14" s="8" customFormat="1" x14ac:dyDescent="0.2">
      <c r="A92" s="7" t="s">
        <v>220</v>
      </c>
      <c r="C92" s="7"/>
      <c r="I92" s="9">
        <f>AVERAGE(I93:I98)</f>
        <v>1.6666666666666667</v>
      </c>
      <c r="N92" s="22">
        <f>AVERAGE(N93:N98)</f>
        <v>2</v>
      </c>
    </row>
    <row r="93" spans="1:14" x14ac:dyDescent="0.2">
      <c r="A93" s="6" t="s">
        <v>221</v>
      </c>
      <c r="C93" s="6" t="s">
        <v>221</v>
      </c>
      <c r="D93" s="6" t="s">
        <v>222</v>
      </c>
      <c r="E93" s="6" t="s">
        <v>51</v>
      </c>
      <c r="F93" s="6" t="s">
        <v>52</v>
      </c>
      <c r="G93" s="6" t="s">
        <v>53</v>
      </c>
      <c r="H93" s="6" t="s">
        <v>55</v>
      </c>
      <c r="I93" s="10">
        <v>1</v>
      </c>
      <c r="J93" s="6" t="s">
        <v>55</v>
      </c>
      <c r="L93" s="6" t="s">
        <v>223</v>
      </c>
      <c r="N93" s="21">
        <v>3</v>
      </c>
    </row>
    <row r="94" spans="1:14" x14ac:dyDescent="0.2">
      <c r="A94" s="6" t="s">
        <v>224</v>
      </c>
      <c r="C94" s="6" t="s">
        <v>224</v>
      </c>
      <c r="D94" s="6" t="s">
        <v>225</v>
      </c>
      <c r="E94" s="6" t="s">
        <v>51</v>
      </c>
      <c r="F94" s="6" t="s">
        <v>52</v>
      </c>
      <c r="G94" s="6" t="s">
        <v>53</v>
      </c>
      <c r="H94" s="6" t="s">
        <v>55</v>
      </c>
      <c r="I94" s="10">
        <v>2</v>
      </c>
      <c r="J94" s="6" t="s">
        <v>55</v>
      </c>
      <c r="L94" s="6" t="s">
        <v>226</v>
      </c>
      <c r="N94" s="21">
        <v>2</v>
      </c>
    </row>
    <row r="95" spans="1:14" x14ac:dyDescent="0.2">
      <c r="B95" s="6" t="s">
        <v>227</v>
      </c>
      <c r="C95" s="6" t="s">
        <v>228</v>
      </c>
      <c r="E95" s="6" t="s">
        <v>51</v>
      </c>
      <c r="F95" s="6" t="s">
        <v>52</v>
      </c>
      <c r="G95" s="6" t="s">
        <v>53</v>
      </c>
      <c r="H95" s="6" t="s">
        <v>55</v>
      </c>
      <c r="I95" s="10">
        <v>2</v>
      </c>
      <c r="J95" s="6" t="s">
        <v>55</v>
      </c>
      <c r="L95" s="6" t="s">
        <v>229</v>
      </c>
      <c r="N95" s="21">
        <v>2</v>
      </c>
    </row>
    <row r="96" spans="1:14" x14ac:dyDescent="0.2">
      <c r="A96" s="6" t="s">
        <v>230</v>
      </c>
      <c r="C96" s="6" t="s">
        <v>231</v>
      </c>
      <c r="D96" s="6" t="s">
        <v>232</v>
      </c>
      <c r="E96" s="6" t="s">
        <v>51</v>
      </c>
      <c r="F96" s="6" t="s">
        <v>52</v>
      </c>
      <c r="G96" s="6" t="s">
        <v>53</v>
      </c>
      <c r="H96" s="6" t="s">
        <v>55</v>
      </c>
      <c r="I96" s="10">
        <v>2</v>
      </c>
      <c r="J96" s="6" t="s">
        <v>55</v>
      </c>
      <c r="L96" s="6" t="s">
        <v>233</v>
      </c>
      <c r="N96" s="21">
        <v>2</v>
      </c>
    </row>
    <row r="97" spans="1:14" x14ac:dyDescent="0.2">
      <c r="A97" s="6" t="s">
        <v>234</v>
      </c>
      <c r="C97" s="6" t="s">
        <v>235</v>
      </c>
      <c r="D97" s="6" t="s">
        <v>236</v>
      </c>
      <c r="E97" s="6" t="s">
        <v>51</v>
      </c>
      <c r="F97" s="6" t="s">
        <v>52</v>
      </c>
      <c r="G97" s="6" t="s">
        <v>53</v>
      </c>
      <c r="H97" s="6" t="s">
        <v>55</v>
      </c>
      <c r="I97" s="10">
        <v>1</v>
      </c>
      <c r="J97" s="6" t="s">
        <v>55</v>
      </c>
      <c r="L97" s="6" t="s">
        <v>237</v>
      </c>
      <c r="N97" s="21">
        <v>2</v>
      </c>
    </row>
    <row r="98" spans="1:14" x14ac:dyDescent="0.2">
      <c r="A98" s="6" t="s">
        <v>238</v>
      </c>
      <c r="C98" s="6" t="s">
        <v>239</v>
      </c>
      <c r="E98" s="6" t="s">
        <v>51</v>
      </c>
      <c r="F98" s="6" t="s">
        <v>52</v>
      </c>
      <c r="G98" s="6" t="s">
        <v>53</v>
      </c>
      <c r="H98" s="6" t="s">
        <v>55</v>
      </c>
      <c r="I98" s="10">
        <v>2</v>
      </c>
      <c r="J98" s="6" t="s">
        <v>55</v>
      </c>
      <c r="L98" s="6" t="s">
        <v>240</v>
      </c>
      <c r="N98" s="21">
        <v>1</v>
      </c>
    </row>
    <row r="99" spans="1:14" s="8" customFormat="1" x14ac:dyDescent="0.2">
      <c r="A99" s="7" t="s">
        <v>241</v>
      </c>
      <c r="C99" s="7"/>
      <c r="I99" s="9">
        <f>AVERAGE(I100:I104)</f>
        <v>2.8</v>
      </c>
      <c r="N99" s="22">
        <f>AVERAGE(N100:N104)</f>
        <v>4</v>
      </c>
    </row>
    <row r="100" spans="1:14" x14ac:dyDescent="0.2">
      <c r="A100" s="6" t="s">
        <v>242</v>
      </c>
      <c r="C100" s="6" t="s">
        <v>242</v>
      </c>
      <c r="E100" s="6" t="s">
        <v>51</v>
      </c>
      <c r="F100" s="6" t="s">
        <v>52</v>
      </c>
      <c r="G100" s="6" t="s">
        <v>53</v>
      </c>
      <c r="H100" s="6" t="s">
        <v>55</v>
      </c>
      <c r="I100" s="10">
        <v>1</v>
      </c>
      <c r="J100" s="6" t="s">
        <v>55</v>
      </c>
      <c r="L100" s="6" t="s">
        <v>243</v>
      </c>
      <c r="N100" s="21">
        <v>4</v>
      </c>
    </row>
    <row r="101" spans="1:14" x14ac:dyDescent="0.2">
      <c r="A101" s="6" t="s">
        <v>244</v>
      </c>
      <c r="C101" s="6" t="s">
        <v>244</v>
      </c>
      <c r="E101" s="6" t="s">
        <v>51</v>
      </c>
      <c r="F101" s="6" t="s">
        <v>52</v>
      </c>
      <c r="G101" s="6" t="s">
        <v>53</v>
      </c>
      <c r="H101" s="6" t="s">
        <v>55</v>
      </c>
      <c r="I101" s="10">
        <v>2</v>
      </c>
      <c r="J101" s="6" t="s">
        <v>55</v>
      </c>
      <c r="L101" s="6" t="s">
        <v>245</v>
      </c>
      <c r="N101" s="21">
        <v>4</v>
      </c>
    </row>
    <row r="102" spans="1:14" x14ac:dyDescent="0.2">
      <c r="A102" s="6" t="s">
        <v>246</v>
      </c>
      <c r="C102" s="6" t="s">
        <v>246</v>
      </c>
      <c r="D102" s="6" t="s">
        <v>247</v>
      </c>
      <c r="E102" s="6" t="s">
        <v>51</v>
      </c>
      <c r="F102" s="6" t="s">
        <v>52</v>
      </c>
      <c r="G102" s="6" t="s">
        <v>53</v>
      </c>
      <c r="H102" s="6" t="s">
        <v>55</v>
      </c>
      <c r="I102" s="10">
        <v>3</v>
      </c>
      <c r="J102" s="6" t="s">
        <v>55</v>
      </c>
      <c r="L102" s="6" t="s">
        <v>248</v>
      </c>
      <c r="N102" s="21">
        <v>4</v>
      </c>
    </row>
    <row r="103" spans="1:14" x14ac:dyDescent="0.2">
      <c r="B103" s="6" t="s">
        <v>249</v>
      </c>
      <c r="C103" s="6" t="s">
        <v>250</v>
      </c>
      <c r="E103" s="6" t="s">
        <v>51</v>
      </c>
      <c r="F103" s="6" t="s">
        <v>52</v>
      </c>
      <c r="G103" s="6" t="s">
        <v>53</v>
      </c>
      <c r="H103" s="6" t="s">
        <v>55</v>
      </c>
      <c r="I103" s="10">
        <v>4</v>
      </c>
      <c r="J103" s="6" t="s">
        <v>55</v>
      </c>
      <c r="L103" s="6" t="s">
        <v>251</v>
      </c>
      <c r="N103" s="21">
        <v>4</v>
      </c>
    </row>
    <row r="104" spans="1:14" x14ac:dyDescent="0.2">
      <c r="A104" s="6" t="s">
        <v>252</v>
      </c>
      <c r="C104" s="6" t="s">
        <v>253</v>
      </c>
      <c r="E104" s="6" t="s">
        <v>51</v>
      </c>
      <c r="F104" s="6" t="s">
        <v>52</v>
      </c>
      <c r="G104" s="6" t="s">
        <v>53</v>
      </c>
      <c r="H104" s="6" t="s">
        <v>55</v>
      </c>
      <c r="I104" s="10">
        <v>4</v>
      </c>
      <c r="J104" s="6" t="s">
        <v>55</v>
      </c>
      <c r="L104" s="6" t="s">
        <v>254</v>
      </c>
      <c r="N104" s="21">
        <v>4</v>
      </c>
    </row>
    <row r="105" spans="1:14" s="8" customFormat="1" x14ac:dyDescent="0.2">
      <c r="A105" s="7" t="s">
        <v>255</v>
      </c>
      <c r="C105" s="7"/>
      <c r="I105" s="9">
        <f>AVERAGE(I106:I108)</f>
        <v>1.3333333333333333</v>
      </c>
      <c r="N105" s="22">
        <f>AVERAGE(N106:N108)</f>
        <v>3</v>
      </c>
    </row>
    <row r="106" spans="1:14" x14ac:dyDescent="0.2">
      <c r="A106" s="6" t="s">
        <v>256</v>
      </c>
      <c r="C106" s="6" t="s">
        <v>256</v>
      </c>
      <c r="E106" s="6" t="s">
        <v>51</v>
      </c>
      <c r="F106" s="6" t="s">
        <v>52</v>
      </c>
      <c r="G106" s="6" t="s">
        <v>53</v>
      </c>
      <c r="H106" s="6" t="s">
        <v>54</v>
      </c>
      <c r="I106" s="10">
        <v>1</v>
      </c>
      <c r="J106" s="6" t="s">
        <v>55</v>
      </c>
      <c r="L106" s="6" t="s">
        <v>257</v>
      </c>
      <c r="N106" s="21">
        <v>2</v>
      </c>
    </row>
    <row r="107" spans="1:14" x14ac:dyDescent="0.2">
      <c r="A107" s="6" t="s">
        <v>258</v>
      </c>
      <c r="C107" s="6" t="s">
        <v>258</v>
      </c>
      <c r="D107" s="6" t="s">
        <v>259</v>
      </c>
      <c r="E107" s="6" t="s">
        <v>51</v>
      </c>
      <c r="F107" s="6" t="s">
        <v>52</v>
      </c>
      <c r="G107" s="6" t="s">
        <v>53</v>
      </c>
      <c r="H107" s="6" t="s">
        <v>54</v>
      </c>
      <c r="I107" s="10">
        <v>1</v>
      </c>
      <c r="J107" s="6" t="s">
        <v>55</v>
      </c>
      <c r="L107" s="6" t="s">
        <v>260</v>
      </c>
      <c r="N107" s="21">
        <v>4</v>
      </c>
    </row>
    <row r="108" spans="1:14" x14ac:dyDescent="0.2">
      <c r="A108" s="6" t="s">
        <v>261</v>
      </c>
      <c r="C108" s="6" t="s">
        <v>261</v>
      </c>
      <c r="D108" s="6" t="s">
        <v>262</v>
      </c>
      <c r="E108" s="6" t="s">
        <v>51</v>
      </c>
      <c r="F108" s="6" t="s">
        <v>52</v>
      </c>
      <c r="G108" s="6" t="s">
        <v>53</v>
      </c>
      <c r="H108" s="6" t="s">
        <v>54</v>
      </c>
      <c r="I108" s="10">
        <v>2</v>
      </c>
      <c r="J108" s="6" t="s">
        <v>55</v>
      </c>
      <c r="L108" s="6" t="s">
        <v>263</v>
      </c>
      <c r="N108" s="21">
        <v>3</v>
      </c>
    </row>
    <row r="109" spans="1:14" s="8" customFormat="1" x14ac:dyDescent="0.2">
      <c r="A109" s="7" t="s">
        <v>264</v>
      </c>
      <c r="C109" s="7"/>
      <c r="I109" s="9">
        <f>AVERAGE(I110:I113)</f>
        <v>2.25</v>
      </c>
      <c r="N109" s="22">
        <f>AVERAGE(N110:N113)</f>
        <v>2.5</v>
      </c>
    </row>
    <row r="110" spans="1:14" x14ac:dyDescent="0.2">
      <c r="A110" s="6" t="s">
        <v>265</v>
      </c>
      <c r="C110" s="6" t="s">
        <v>265</v>
      </c>
      <c r="D110" s="6" t="s">
        <v>259</v>
      </c>
      <c r="E110" s="6" t="s">
        <v>51</v>
      </c>
      <c r="F110" s="6" t="s">
        <v>52</v>
      </c>
      <c r="G110" s="6" t="s">
        <v>53</v>
      </c>
      <c r="H110" s="6" t="s">
        <v>54</v>
      </c>
      <c r="I110" s="10">
        <v>2</v>
      </c>
      <c r="J110" s="6" t="s">
        <v>55</v>
      </c>
      <c r="L110" s="6" t="s">
        <v>266</v>
      </c>
      <c r="N110" s="21">
        <v>4</v>
      </c>
    </row>
    <row r="111" spans="1:14" x14ac:dyDescent="0.2">
      <c r="A111" s="6" t="s">
        <v>267</v>
      </c>
      <c r="C111" s="6" t="s">
        <v>267</v>
      </c>
      <c r="D111" s="6" t="s">
        <v>268</v>
      </c>
      <c r="E111" s="6" t="s">
        <v>51</v>
      </c>
      <c r="F111" s="6" t="s">
        <v>52</v>
      </c>
      <c r="G111" s="6" t="s">
        <v>53</v>
      </c>
      <c r="H111" s="6" t="s">
        <v>54</v>
      </c>
      <c r="I111" s="10">
        <v>2</v>
      </c>
      <c r="J111" s="6" t="s">
        <v>55</v>
      </c>
      <c r="L111" s="6" t="s">
        <v>269</v>
      </c>
      <c r="N111" s="21">
        <v>3</v>
      </c>
    </row>
    <row r="112" spans="1:14" x14ac:dyDescent="0.2">
      <c r="A112" s="6" t="s">
        <v>270</v>
      </c>
      <c r="C112" s="6" t="s">
        <v>270</v>
      </c>
      <c r="D112" s="6" t="s">
        <v>271</v>
      </c>
      <c r="E112" s="6" t="s">
        <v>51</v>
      </c>
      <c r="F112" s="6" t="s">
        <v>52</v>
      </c>
      <c r="G112" s="6" t="s">
        <v>53</v>
      </c>
      <c r="H112" s="6" t="s">
        <v>54</v>
      </c>
      <c r="I112" s="10">
        <v>2</v>
      </c>
      <c r="J112" s="6" t="s">
        <v>55</v>
      </c>
      <c r="L112" s="6" t="s">
        <v>272</v>
      </c>
      <c r="N112" s="21">
        <v>2</v>
      </c>
    </row>
    <row r="113" spans="1:14" x14ac:dyDescent="0.2">
      <c r="A113" s="6" t="s">
        <v>273</v>
      </c>
      <c r="C113" s="6" t="s">
        <v>273</v>
      </c>
      <c r="E113" s="6" t="s">
        <v>51</v>
      </c>
      <c r="F113" s="6" t="s">
        <v>52</v>
      </c>
      <c r="G113" s="6" t="s">
        <v>53</v>
      </c>
      <c r="H113" s="6" t="s">
        <v>54</v>
      </c>
      <c r="I113" s="10">
        <v>3</v>
      </c>
      <c r="J113" s="6" t="s">
        <v>55</v>
      </c>
      <c r="L113" s="6" t="s">
        <v>274</v>
      </c>
      <c r="N113" s="21">
        <v>1</v>
      </c>
    </row>
    <row r="114" spans="1:14" s="8" customFormat="1" x14ac:dyDescent="0.2">
      <c r="A114" s="7" t="s">
        <v>275</v>
      </c>
      <c r="C114" s="7"/>
      <c r="I114" s="9">
        <f>AVERAGE(I115:I118)</f>
        <v>2.5</v>
      </c>
      <c r="N114" s="22">
        <f>AVERAGE(N115:N118)</f>
        <v>3</v>
      </c>
    </row>
    <row r="115" spans="1:14" x14ac:dyDescent="0.2">
      <c r="A115" s="6" t="s">
        <v>276</v>
      </c>
      <c r="C115" s="6" t="s">
        <v>276</v>
      </c>
      <c r="D115" s="6" t="s">
        <v>277</v>
      </c>
      <c r="E115" s="6" t="s">
        <v>51</v>
      </c>
      <c r="F115" s="6" t="s">
        <v>66</v>
      </c>
      <c r="G115" s="6" t="s">
        <v>53</v>
      </c>
      <c r="H115" s="6" t="s">
        <v>55</v>
      </c>
      <c r="I115" s="10">
        <v>2</v>
      </c>
      <c r="J115" s="6" t="s">
        <v>54</v>
      </c>
      <c r="L115" s="6" t="s">
        <v>278</v>
      </c>
      <c r="N115" s="21">
        <v>3</v>
      </c>
    </row>
    <row r="116" spans="1:14" x14ac:dyDescent="0.2">
      <c r="A116" s="6" t="s">
        <v>279</v>
      </c>
      <c r="C116" s="6" t="s">
        <v>279</v>
      </c>
      <c r="D116" s="6" t="s">
        <v>280</v>
      </c>
      <c r="E116" s="6" t="s">
        <v>51</v>
      </c>
      <c r="F116" s="6" t="s">
        <v>66</v>
      </c>
      <c r="G116" s="6" t="s">
        <v>53</v>
      </c>
      <c r="H116" s="6" t="s">
        <v>55</v>
      </c>
      <c r="I116" s="10">
        <v>3</v>
      </c>
      <c r="J116" s="6" t="s">
        <v>54</v>
      </c>
      <c r="L116" s="6" t="s">
        <v>281</v>
      </c>
      <c r="N116" s="21">
        <v>4</v>
      </c>
    </row>
    <row r="117" spans="1:14" x14ac:dyDescent="0.2">
      <c r="A117" s="6" t="s">
        <v>282</v>
      </c>
      <c r="C117" s="6" t="s">
        <v>282</v>
      </c>
      <c r="E117" s="6" t="s">
        <v>51</v>
      </c>
      <c r="F117" s="6" t="s">
        <v>52</v>
      </c>
      <c r="G117" s="6" t="s">
        <v>53</v>
      </c>
      <c r="H117" s="6" t="s">
        <v>55</v>
      </c>
      <c r="I117" s="10">
        <v>2</v>
      </c>
      <c r="J117" s="6" t="s">
        <v>54</v>
      </c>
      <c r="L117" s="6" t="s">
        <v>283</v>
      </c>
      <c r="N117" s="21">
        <v>2</v>
      </c>
    </row>
    <row r="118" spans="1:14" x14ac:dyDescent="0.2">
      <c r="B118" s="6" t="s">
        <v>971</v>
      </c>
      <c r="C118" s="6" t="s">
        <v>953</v>
      </c>
      <c r="E118" s="6" t="s">
        <v>51</v>
      </c>
      <c r="F118" s="6" t="s">
        <v>52</v>
      </c>
      <c r="G118" s="6" t="s">
        <v>53</v>
      </c>
      <c r="H118" s="6" t="s">
        <v>55</v>
      </c>
      <c r="I118" s="10">
        <v>3</v>
      </c>
      <c r="J118" s="6" t="s">
        <v>54</v>
      </c>
      <c r="L118" s="6" t="s">
        <v>284</v>
      </c>
      <c r="N118" s="21">
        <v>3</v>
      </c>
    </row>
    <row r="119" spans="1:14" s="8" customFormat="1" x14ac:dyDescent="0.2">
      <c r="A119" s="7" t="s">
        <v>285</v>
      </c>
      <c r="C119" s="7"/>
      <c r="I119" s="9">
        <f>AVERAGE(I120:I123)</f>
        <v>1.75</v>
      </c>
      <c r="N119" s="22">
        <f>AVERAGE(N120:N123)</f>
        <v>2.75</v>
      </c>
    </row>
    <row r="120" spans="1:14" x14ac:dyDescent="0.2">
      <c r="A120" s="6" t="s">
        <v>286</v>
      </c>
      <c r="C120" s="6" t="s">
        <v>286</v>
      </c>
      <c r="D120" s="6" t="s">
        <v>287</v>
      </c>
      <c r="E120" s="6" t="s">
        <v>51</v>
      </c>
      <c r="F120" s="6" t="s">
        <v>52</v>
      </c>
      <c r="G120" s="6" t="s">
        <v>53</v>
      </c>
      <c r="H120" s="6" t="s">
        <v>55</v>
      </c>
      <c r="I120" s="10">
        <v>1</v>
      </c>
      <c r="J120" s="6" t="s">
        <v>55</v>
      </c>
      <c r="L120" s="6" t="s">
        <v>288</v>
      </c>
      <c r="N120" s="21">
        <v>4</v>
      </c>
    </row>
    <row r="121" spans="1:14" x14ac:dyDescent="0.2">
      <c r="A121" s="6" t="s">
        <v>289</v>
      </c>
      <c r="C121" s="6" t="s">
        <v>289</v>
      </c>
      <c r="D121" s="6" t="s">
        <v>290</v>
      </c>
      <c r="E121" s="6" t="s">
        <v>51</v>
      </c>
      <c r="F121" s="6" t="s">
        <v>52</v>
      </c>
      <c r="G121" s="6" t="s">
        <v>53</v>
      </c>
      <c r="H121" s="6" t="s">
        <v>55</v>
      </c>
      <c r="I121" s="10">
        <v>2</v>
      </c>
      <c r="J121" s="6" t="s">
        <v>55</v>
      </c>
      <c r="L121" s="6" t="s">
        <v>291</v>
      </c>
      <c r="N121" s="21">
        <v>3</v>
      </c>
    </row>
    <row r="122" spans="1:14" x14ac:dyDescent="0.2">
      <c r="A122" s="6" t="s">
        <v>292</v>
      </c>
      <c r="C122" s="6" t="s">
        <v>292</v>
      </c>
      <c r="E122" s="6" t="s">
        <v>51</v>
      </c>
      <c r="F122" s="6" t="s">
        <v>52</v>
      </c>
      <c r="G122" s="6" t="s">
        <v>53</v>
      </c>
      <c r="H122" s="6" t="s">
        <v>55</v>
      </c>
      <c r="I122" s="10">
        <v>1</v>
      </c>
      <c r="J122" s="6" t="s">
        <v>55</v>
      </c>
      <c r="L122" s="6" t="s">
        <v>293</v>
      </c>
      <c r="N122" s="21">
        <v>2</v>
      </c>
    </row>
    <row r="123" spans="1:14" x14ac:dyDescent="0.2">
      <c r="A123" s="6" t="s">
        <v>294</v>
      </c>
      <c r="C123" s="6" t="s">
        <v>294</v>
      </c>
      <c r="E123" s="6" t="s">
        <v>51</v>
      </c>
      <c r="F123" s="6" t="s">
        <v>52</v>
      </c>
      <c r="G123" s="6" t="s">
        <v>53</v>
      </c>
      <c r="H123" s="6" t="s">
        <v>55</v>
      </c>
      <c r="I123" s="10">
        <v>3</v>
      </c>
      <c r="J123" s="6" t="s">
        <v>55</v>
      </c>
      <c r="L123" s="6" t="s">
        <v>295</v>
      </c>
      <c r="N123" s="21">
        <v>2</v>
      </c>
    </row>
    <row r="124" spans="1:14" s="8" customFormat="1" x14ac:dyDescent="0.2">
      <c r="A124" s="7" t="s">
        <v>296</v>
      </c>
      <c r="C124" s="7"/>
      <c r="I124" s="9">
        <f>AVERAGE(I125:I127)</f>
        <v>3.3333333333333335</v>
      </c>
      <c r="N124" s="22">
        <f>AVERAGE(N125:N127)</f>
        <v>3.6666666666666665</v>
      </c>
    </row>
    <row r="125" spans="1:14" x14ac:dyDescent="0.2">
      <c r="A125" s="6" t="s">
        <v>297</v>
      </c>
      <c r="C125" s="6" t="s">
        <v>297</v>
      </c>
      <c r="E125" s="6" t="s">
        <v>51</v>
      </c>
      <c r="F125" s="6" t="s">
        <v>52</v>
      </c>
      <c r="G125" s="6" t="s">
        <v>53</v>
      </c>
      <c r="H125" s="6" t="s">
        <v>55</v>
      </c>
      <c r="I125" s="10">
        <v>2</v>
      </c>
      <c r="J125" s="6" t="s">
        <v>55</v>
      </c>
      <c r="L125" s="6" t="s">
        <v>298</v>
      </c>
      <c r="N125" s="21">
        <v>3</v>
      </c>
    </row>
    <row r="126" spans="1:14" x14ac:dyDescent="0.2">
      <c r="A126" s="6" t="s">
        <v>299</v>
      </c>
      <c r="C126" s="6" t="s">
        <v>299</v>
      </c>
      <c r="E126" s="6" t="s">
        <v>51</v>
      </c>
      <c r="F126" s="6" t="s">
        <v>52</v>
      </c>
      <c r="G126" s="6" t="s">
        <v>53</v>
      </c>
      <c r="H126" s="6" t="s">
        <v>55</v>
      </c>
      <c r="I126" s="10">
        <v>4</v>
      </c>
      <c r="J126" s="6" t="s">
        <v>55</v>
      </c>
      <c r="L126" s="6" t="s">
        <v>300</v>
      </c>
      <c r="N126" s="21">
        <v>4</v>
      </c>
    </row>
    <row r="127" spans="1:14" x14ac:dyDescent="0.2">
      <c r="A127" s="6" t="s">
        <v>301</v>
      </c>
      <c r="C127" s="6" t="s">
        <v>301</v>
      </c>
      <c r="D127" s="6" t="s">
        <v>302</v>
      </c>
      <c r="E127" s="6" t="s">
        <v>51</v>
      </c>
      <c r="F127" s="6" t="s">
        <v>52</v>
      </c>
      <c r="G127" s="6" t="s">
        <v>53</v>
      </c>
      <c r="H127" s="6" t="s">
        <v>55</v>
      </c>
      <c r="I127" s="10">
        <v>4</v>
      </c>
      <c r="J127" s="6" t="s">
        <v>55</v>
      </c>
      <c r="L127" s="6" t="s">
        <v>303</v>
      </c>
      <c r="N127" s="21">
        <v>4</v>
      </c>
    </row>
    <row r="128" spans="1:14" s="8" customFormat="1" x14ac:dyDescent="0.2">
      <c r="A128" s="7" t="s">
        <v>304</v>
      </c>
      <c r="C128" s="7"/>
      <c r="I128" s="9">
        <f>AVERAGE(I129:I132)</f>
        <v>3</v>
      </c>
      <c r="N128" s="22">
        <f>AVERAGE(N129:N132)</f>
        <v>3.75</v>
      </c>
    </row>
    <row r="129" spans="1:14" x14ac:dyDescent="0.2">
      <c r="A129" s="6" t="s">
        <v>305</v>
      </c>
      <c r="C129" s="6" t="s">
        <v>305</v>
      </c>
      <c r="D129" s="6" t="s">
        <v>306</v>
      </c>
      <c r="E129" s="6" t="s">
        <v>51</v>
      </c>
      <c r="F129" s="6" t="s">
        <v>52</v>
      </c>
      <c r="G129" s="6" t="s">
        <v>53</v>
      </c>
      <c r="H129" s="6" t="s">
        <v>55</v>
      </c>
      <c r="I129" s="10">
        <v>2</v>
      </c>
      <c r="J129" s="6" t="s">
        <v>55</v>
      </c>
      <c r="L129" s="6" t="s">
        <v>307</v>
      </c>
      <c r="N129" s="21">
        <v>4</v>
      </c>
    </row>
    <row r="130" spans="1:14" x14ac:dyDescent="0.2">
      <c r="A130" s="6" t="s">
        <v>308</v>
      </c>
      <c r="C130" s="6" t="s">
        <v>308</v>
      </c>
      <c r="E130" s="6" t="s">
        <v>51</v>
      </c>
      <c r="F130" s="6" t="s">
        <v>52</v>
      </c>
      <c r="G130" s="6" t="s">
        <v>53</v>
      </c>
      <c r="H130" s="6" t="s">
        <v>55</v>
      </c>
      <c r="I130" s="10">
        <v>2</v>
      </c>
      <c r="J130" s="6" t="s">
        <v>55</v>
      </c>
      <c r="L130" s="6" t="s">
        <v>309</v>
      </c>
      <c r="N130" s="21">
        <v>3</v>
      </c>
    </row>
    <row r="131" spans="1:14" x14ac:dyDescent="0.2">
      <c r="A131" s="6" t="s">
        <v>310</v>
      </c>
      <c r="C131" s="6" t="s">
        <v>310</v>
      </c>
      <c r="E131" s="6" t="s">
        <v>51</v>
      </c>
      <c r="F131" s="6" t="s">
        <v>52</v>
      </c>
      <c r="G131" s="6" t="s">
        <v>53</v>
      </c>
      <c r="H131" s="6" t="s">
        <v>55</v>
      </c>
      <c r="I131" s="10">
        <v>4</v>
      </c>
      <c r="J131" s="6" t="s">
        <v>55</v>
      </c>
      <c r="L131" s="6" t="s">
        <v>311</v>
      </c>
      <c r="N131" s="21">
        <v>4</v>
      </c>
    </row>
    <row r="132" spans="1:14" x14ac:dyDescent="0.2">
      <c r="A132" s="6" t="s">
        <v>312</v>
      </c>
      <c r="C132" s="6" t="s">
        <v>312</v>
      </c>
      <c r="E132" s="6" t="s">
        <v>51</v>
      </c>
      <c r="F132" s="6" t="s">
        <v>52</v>
      </c>
      <c r="G132" s="6" t="s">
        <v>53</v>
      </c>
      <c r="H132" s="6" t="s">
        <v>55</v>
      </c>
      <c r="I132" s="10">
        <v>4</v>
      </c>
      <c r="J132" s="6" t="s">
        <v>55</v>
      </c>
      <c r="L132" s="6" t="s">
        <v>313</v>
      </c>
      <c r="N132" s="21">
        <v>4</v>
      </c>
    </row>
    <row r="133" spans="1:14" s="8" customFormat="1" x14ac:dyDescent="0.2">
      <c r="A133" s="7" t="s">
        <v>314</v>
      </c>
      <c r="C133" s="7"/>
      <c r="I133" s="9">
        <f>AVERAGE(I134:I138)</f>
        <v>1.6</v>
      </c>
      <c r="N133" s="22">
        <f>AVERAGE(N134:N138)</f>
        <v>2.4</v>
      </c>
    </row>
    <row r="134" spans="1:14" x14ac:dyDescent="0.2">
      <c r="A134" s="6" t="s">
        <v>315</v>
      </c>
      <c r="C134" s="6" t="s">
        <v>315</v>
      </c>
      <c r="E134" s="6" t="s">
        <v>51</v>
      </c>
      <c r="F134" s="6" t="s">
        <v>52</v>
      </c>
      <c r="G134" s="6" t="s">
        <v>53</v>
      </c>
      <c r="H134" s="6" t="s">
        <v>55</v>
      </c>
      <c r="I134" s="10">
        <v>2</v>
      </c>
      <c r="J134" s="6" t="s">
        <v>55</v>
      </c>
      <c r="L134" s="6" t="s">
        <v>316</v>
      </c>
      <c r="N134" s="21">
        <v>3</v>
      </c>
    </row>
    <row r="135" spans="1:14" x14ac:dyDescent="0.2">
      <c r="A135" s="6" t="s">
        <v>317</v>
      </c>
      <c r="C135" s="6" t="s">
        <v>317</v>
      </c>
      <c r="D135" s="6" t="s">
        <v>318</v>
      </c>
      <c r="E135" s="6" t="s">
        <v>51</v>
      </c>
      <c r="F135" s="6" t="s">
        <v>66</v>
      </c>
      <c r="G135" s="6" t="s">
        <v>53</v>
      </c>
      <c r="H135" s="6" t="s">
        <v>55</v>
      </c>
      <c r="I135" s="10">
        <v>1</v>
      </c>
      <c r="J135" s="6" t="s">
        <v>55</v>
      </c>
      <c r="L135" s="6" t="s">
        <v>319</v>
      </c>
      <c r="N135" s="21">
        <v>3</v>
      </c>
    </row>
    <row r="136" spans="1:14" x14ac:dyDescent="0.2">
      <c r="A136" s="6" t="s">
        <v>320</v>
      </c>
      <c r="C136" s="6" t="s">
        <v>320</v>
      </c>
      <c r="D136" s="6" t="s">
        <v>321</v>
      </c>
      <c r="E136" s="6" t="s">
        <v>51</v>
      </c>
      <c r="F136" s="6" t="s">
        <v>66</v>
      </c>
      <c r="G136" s="6" t="s">
        <v>53</v>
      </c>
      <c r="H136" s="6" t="s">
        <v>55</v>
      </c>
      <c r="I136" s="10">
        <v>1</v>
      </c>
      <c r="J136" s="6" t="s">
        <v>55</v>
      </c>
      <c r="L136" s="6" t="s">
        <v>322</v>
      </c>
      <c r="N136" s="21">
        <v>2</v>
      </c>
    </row>
    <row r="137" spans="1:14" x14ac:dyDescent="0.2">
      <c r="A137" s="6" t="s">
        <v>323</v>
      </c>
      <c r="C137" s="6" t="s">
        <v>323</v>
      </c>
      <c r="D137" s="6" t="s">
        <v>324</v>
      </c>
      <c r="E137" s="6" t="s">
        <v>51</v>
      </c>
      <c r="F137" s="6" t="s">
        <v>66</v>
      </c>
      <c r="G137" s="6" t="s">
        <v>53</v>
      </c>
      <c r="H137" s="6" t="s">
        <v>55</v>
      </c>
      <c r="I137" s="10">
        <v>1</v>
      </c>
      <c r="J137" s="6" t="s">
        <v>55</v>
      </c>
      <c r="L137" s="6" t="s">
        <v>325</v>
      </c>
      <c r="N137" s="21">
        <v>1</v>
      </c>
    </row>
    <row r="138" spans="1:14" x14ac:dyDescent="0.2">
      <c r="A138" s="6" t="s">
        <v>326</v>
      </c>
      <c r="C138" s="6" t="s">
        <v>326</v>
      </c>
      <c r="E138" s="6" t="s">
        <v>51</v>
      </c>
      <c r="F138" s="6" t="s">
        <v>66</v>
      </c>
      <c r="G138" s="6" t="s">
        <v>53</v>
      </c>
      <c r="H138" s="6" t="s">
        <v>55</v>
      </c>
      <c r="I138" s="10">
        <v>3</v>
      </c>
      <c r="J138" s="6" t="s">
        <v>55</v>
      </c>
      <c r="L138" s="6" t="s">
        <v>327</v>
      </c>
      <c r="N138" s="21">
        <v>3</v>
      </c>
    </row>
    <row r="139" spans="1:14" s="8" customFormat="1" x14ac:dyDescent="0.2">
      <c r="A139" s="7" t="s">
        <v>328</v>
      </c>
      <c r="C139" s="7"/>
      <c r="I139" s="9">
        <f>AVERAGE(I140:I143)</f>
        <v>2.25</v>
      </c>
      <c r="N139" s="22">
        <f>AVERAGE(N140:N143)</f>
        <v>3</v>
      </c>
    </row>
    <row r="140" spans="1:14" x14ac:dyDescent="0.2">
      <c r="A140" s="6" t="s">
        <v>329</v>
      </c>
      <c r="C140" s="6" t="s">
        <v>329</v>
      </c>
      <c r="E140" s="6" t="s">
        <v>51</v>
      </c>
      <c r="F140" s="6" t="s">
        <v>52</v>
      </c>
      <c r="G140" s="6" t="s">
        <v>53</v>
      </c>
      <c r="H140" s="6" t="s">
        <v>55</v>
      </c>
      <c r="I140" s="10">
        <v>2</v>
      </c>
      <c r="J140" s="6" t="s">
        <v>55</v>
      </c>
      <c r="L140" s="6" t="s">
        <v>330</v>
      </c>
      <c r="N140" s="21">
        <v>3</v>
      </c>
    </row>
    <row r="141" spans="1:14" x14ac:dyDescent="0.2">
      <c r="A141" s="6" t="s">
        <v>331</v>
      </c>
      <c r="C141" s="6" t="s">
        <v>331</v>
      </c>
      <c r="D141" s="6" t="s">
        <v>332</v>
      </c>
      <c r="E141" s="6" t="s">
        <v>51</v>
      </c>
      <c r="F141" s="6" t="s">
        <v>66</v>
      </c>
      <c r="G141" s="6" t="s">
        <v>53</v>
      </c>
      <c r="H141" s="6" t="s">
        <v>55</v>
      </c>
      <c r="I141" s="10">
        <v>2</v>
      </c>
      <c r="J141" s="6" t="s">
        <v>55</v>
      </c>
      <c r="L141" s="6" t="s">
        <v>333</v>
      </c>
      <c r="N141" s="21">
        <v>3</v>
      </c>
    </row>
    <row r="142" spans="1:14" x14ac:dyDescent="0.2">
      <c r="A142" s="6" t="s">
        <v>334</v>
      </c>
      <c r="C142" s="6" t="s">
        <v>334</v>
      </c>
      <c r="D142" s="6" t="s">
        <v>335</v>
      </c>
      <c r="E142" s="6" t="s">
        <v>51</v>
      </c>
      <c r="F142" s="6" t="s">
        <v>66</v>
      </c>
      <c r="G142" s="6" t="s">
        <v>53</v>
      </c>
      <c r="H142" s="6" t="s">
        <v>55</v>
      </c>
      <c r="I142" s="10">
        <v>2</v>
      </c>
      <c r="J142" s="6" t="s">
        <v>55</v>
      </c>
      <c r="L142" s="6" t="s">
        <v>336</v>
      </c>
      <c r="N142" s="21">
        <v>3</v>
      </c>
    </row>
    <row r="143" spans="1:14" x14ac:dyDescent="0.2">
      <c r="A143" s="6" t="s">
        <v>337</v>
      </c>
      <c r="C143" s="6" t="s">
        <v>337</v>
      </c>
      <c r="D143" s="6" t="s">
        <v>338</v>
      </c>
      <c r="E143" s="6" t="s">
        <v>51</v>
      </c>
      <c r="F143" s="6" t="s">
        <v>66</v>
      </c>
      <c r="G143" s="6" t="s">
        <v>53</v>
      </c>
      <c r="H143" s="6" t="s">
        <v>55</v>
      </c>
      <c r="I143" s="10">
        <v>3</v>
      </c>
      <c r="J143" s="6" t="s">
        <v>54</v>
      </c>
      <c r="L143" s="6" t="s">
        <v>339</v>
      </c>
      <c r="N143" s="21">
        <v>3</v>
      </c>
    </row>
    <row r="144" spans="1:14" s="8" customFormat="1" x14ac:dyDescent="0.2">
      <c r="A144" s="7" t="s">
        <v>340</v>
      </c>
      <c r="C144" s="7"/>
      <c r="I144" s="9">
        <f>AVERAGE(I145:I150)</f>
        <v>1.8333333333333333</v>
      </c>
      <c r="N144" s="22">
        <f>AVERAGE(N145:N150)</f>
        <v>2.6666666666666665</v>
      </c>
    </row>
    <row r="145" spans="1:14" x14ac:dyDescent="0.2">
      <c r="A145" s="6" t="s">
        <v>341</v>
      </c>
      <c r="C145" s="6" t="s">
        <v>341</v>
      </c>
      <c r="E145" s="6" t="s">
        <v>51</v>
      </c>
      <c r="F145" s="6" t="s">
        <v>52</v>
      </c>
      <c r="G145" s="6" t="s">
        <v>53</v>
      </c>
      <c r="H145" s="6" t="s">
        <v>55</v>
      </c>
      <c r="I145" s="10">
        <v>2</v>
      </c>
      <c r="J145" s="6" t="s">
        <v>55</v>
      </c>
      <c r="L145" s="6" t="s">
        <v>342</v>
      </c>
      <c r="N145" s="21">
        <v>3</v>
      </c>
    </row>
    <row r="146" spans="1:14" x14ac:dyDescent="0.2">
      <c r="A146" s="6" t="s">
        <v>343</v>
      </c>
      <c r="C146" s="6" t="s">
        <v>343</v>
      </c>
      <c r="D146" s="6" t="s">
        <v>344</v>
      </c>
      <c r="E146" s="6" t="s">
        <v>51</v>
      </c>
      <c r="F146" s="6" t="s">
        <v>66</v>
      </c>
      <c r="G146" s="6" t="s">
        <v>53</v>
      </c>
      <c r="H146" s="6" t="s">
        <v>55</v>
      </c>
      <c r="I146" s="10">
        <v>1</v>
      </c>
      <c r="J146" s="6" t="s">
        <v>55</v>
      </c>
      <c r="L146" s="6" t="s">
        <v>345</v>
      </c>
      <c r="N146" s="21">
        <v>3</v>
      </c>
    </row>
    <row r="147" spans="1:14" x14ac:dyDescent="0.2">
      <c r="A147" s="6" t="s">
        <v>346</v>
      </c>
      <c r="C147" s="6" t="s">
        <v>346</v>
      </c>
      <c r="D147" s="6" t="s">
        <v>347</v>
      </c>
      <c r="E147" s="6" t="s">
        <v>51</v>
      </c>
      <c r="F147" s="6" t="s">
        <v>66</v>
      </c>
      <c r="G147" s="6" t="s">
        <v>53</v>
      </c>
      <c r="H147" s="6" t="s">
        <v>55</v>
      </c>
      <c r="I147" s="10">
        <v>1</v>
      </c>
      <c r="J147" s="6" t="s">
        <v>55</v>
      </c>
      <c r="L147" s="6" t="s">
        <v>348</v>
      </c>
      <c r="N147" s="21">
        <v>2</v>
      </c>
    </row>
    <row r="148" spans="1:14" x14ac:dyDescent="0.2">
      <c r="A148" s="6" t="s">
        <v>349</v>
      </c>
      <c r="C148" s="6" t="s">
        <v>349</v>
      </c>
      <c r="D148" s="6" t="s">
        <v>350</v>
      </c>
      <c r="E148" s="6" t="s">
        <v>51</v>
      </c>
      <c r="F148" s="6" t="s">
        <v>66</v>
      </c>
      <c r="G148" s="6" t="s">
        <v>53</v>
      </c>
      <c r="H148" s="6" t="s">
        <v>55</v>
      </c>
      <c r="I148" s="10">
        <v>1</v>
      </c>
      <c r="J148" s="6" t="s">
        <v>55</v>
      </c>
      <c r="L148" s="6" t="s">
        <v>119</v>
      </c>
      <c r="N148" s="21">
        <v>1</v>
      </c>
    </row>
    <row r="149" spans="1:14" x14ac:dyDescent="0.2">
      <c r="A149" s="6" t="s">
        <v>351</v>
      </c>
      <c r="C149" s="6" t="s">
        <v>351</v>
      </c>
      <c r="E149" s="6" t="s">
        <v>51</v>
      </c>
      <c r="F149" s="6" t="s">
        <v>66</v>
      </c>
      <c r="G149" s="6" t="s">
        <v>53</v>
      </c>
      <c r="H149" s="6" t="s">
        <v>55</v>
      </c>
      <c r="I149" s="10">
        <v>3</v>
      </c>
      <c r="J149" s="6" t="s">
        <v>55</v>
      </c>
      <c r="L149" s="6" t="s">
        <v>352</v>
      </c>
      <c r="N149" s="21">
        <v>3</v>
      </c>
    </row>
    <row r="150" spans="1:14" x14ac:dyDescent="0.2">
      <c r="B150" s="6" t="s">
        <v>353</v>
      </c>
      <c r="C150" s="6" t="s">
        <v>354</v>
      </c>
      <c r="E150" s="6" t="s">
        <v>51</v>
      </c>
      <c r="F150" s="6" t="s">
        <v>66</v>
      </c>
      <c r="G150" s="6" t="s">
        <v>53</v>
      </c>
      <c r="H150" s="6" t="s">
        <v>55</v>
      </c>
      <c r="I150" s="10">
        <v>3</v>
      </c>
      <c r="J150" s="6" t="s">
        <v>55</v>
      </c>
      <c r="L150" s="6" t="s">
        <v>355</v>
      </c>
      <c r="N150" s="21">
        <v>4</v>
      </c>
    </row>
    <row r="151" spans="1:14" s="8" customFormat="1" x14ac:dyDescent="0.2">
      <c r="A151" s="7" t="s">
        <v>356</v>
      </c>
      <c r="C151" s="7"/>
      <c r="I151" s="9">
        <f>AVERAGE(I152:I155)</f>
        <v>1</v>
      </c>
      <c r="N151" s="22">
        <f>AVERAGE(N152:N155)</f>
        <v>2</v>
      </c>
    </row>
    <row r="152" spans="1:14" x14ac:dyDescent="0.2">
      <c r="A152" s="6" t="s">
        <v>357</v>
      </c>
      <c r="C152" s="6" t="s">
        <v>357</v>
      </c>
      <c r="D152" s="6" t="s">
        <v>358</v>
      </c>
      <c r="E152" s="6" t="s">
        <v>51</v>
      </c>
      <c r="F152" s="6" t="s">
        <v>66</v>
      </c>
      <c r="G152" s="6" t="s">
        <v>53</v>
      </c>
      <c r="H152" s="6" t="s">
        <v>55</v>
      </c>
      <c r="I152" s="10">
        <v>1</v>
      </c>
      <c r="J152" s="6" t="s">
        <v>55</v>
      </c>
      <c r="L152" s="6" t="s">
        <v>359</v>
      </c>
      <c r="N152" s="21">
        <v>3</v>
      </c>
    </row>
    <row r="153" spans="1:14" x14ac:dyDescent="0.2">
      <c r="A153" s="6" t="s">
        <v>360</v>
      </c>
      <c r="C153" s="6" t="s">
        <v>360</v>
      </c>
      <c r="D153" s="6" t="s">
        <v>344</v>
      </c>
      <c r="E153" s="6" t="s">
        <v>51</v>
      </c>
      <c r="F153" s="6" t="s">
        <v>66</v>
      </c>
      <c r="G153" s="6" t="s">
        <v>53</v>
      </c>
      <c r="H153" s="6" t="s">
        <v>55</v>
      </c>
      <c r="I153" s="10">
        <v>1</v>
      </c>
      <c r="J153" s="6" t="s">
        <v>55</v>
      </c>
      <c r="L153" s="6" t="s">
        <v>361</v>
      </c>
      <c r="N153" s="21">
        <v>2</v>
      </c>
    </row>
    <row r="154" spans="1:14" x14ac:dyDescent="0.2">
      <c r="A154" s="6" t="s">
        <v>362</v>
      </c>
      <c r="C154" s="6" t="s">
        <v>362</v>
      </c>
      <c r="D154" s="6" t="s">
        <v>347</v>
      </c>
      <c r="E154" s="6" t="s">
        <v>51</v>
      </c>
      <c r="F154" s="6" t="s">
        <v>66</v>
      </c>
      <c r="G154" s="6" t="s">
        <v>53</v>
      </c>
      <c r="H154" s="6" t="s">
        <v>55</v>
      </c>
      <c r="I154" s="10">
        <v>1</v>
      </c>
      <c r="J154" s="6" t="s">
        <v>55</v>
      </c>
      <c r="L154" s="6" t="s">
        <v>363</v>
      </c>
      <c r="N154" s="21">
        <v>1</v>
      </c>
    </row>
    <row r="155" spans="1:14" x14ac:dyDescent="0.2">
      <c r="A155" s="6" t="s">
        <v>364</v>
      </c>
      <c r="C155" s="6" t="s">
        <v>364</v>
      </c>
      <c r="D155" s="6" t="s">
        <v>365</v>
      </c>
      <c r="E155" s="6" t="s">
        <v>51</v>
      </c>
      <c r="F155" s="6" t="s">
        <v>66</v>
      </c>
      <c r="G155" s="6" t="s">
        <v>53</v>
      </c>
      <c r="H155" s="6" t="s">
        <v>55</v>
      </c>
      <c r="I155" s="10">
        <v>1</v>
      </c>
      <c r="J155" s="6" t="s">
        <v>55</v>
      </c>
      <c r="L155" s="6" t="s">
        <v>366</v>
      </c>
      <c r="N155" s="21">
        <v>2</v>
      </c>
    </row>
  </sheetData>
  <mergeCells count="1">
    <mergeCell ref="J1:K1"/>
  </mergeCells>
  <pageMargins left="0.75" right="0.75" top="1" bottom="1" header="0.5" footer="0.5"/>
  <pageSetup paperSize="9" orientation="portrait" horizontalDpi="360" verticalDpi="36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9A08-96F5-4179-B1B7-1BA58E7D07CD}">
  <sheetPr>
    <tabColor theme="4" tint="0.79998168889431442"/>
  </sheetPr>
  <dimension ref="A1:C155"/>
  <sheetViews>
    <sheetView topLeftCell="A136" zoomScale="110" workbookViewId="0">
      <selection activeCell="E2" sqref="E2"/>
    </sheetView>
  </sheetViews>
  <sheetFormatPr defaultRowHeight="15.75" x14ac:dyDescent="0.25"/>
  <cols>
    <col min="1" max="1" width="73.25" style="6" bestFit="1" customWidth="1"/>
    <col min="2" max="2" width="23.875" style="21" bestFit="1" customWidth="1"/>
    <col min="3" max="3" width="12.75" style="21" bestFit="1" customWidth="1"/>
  </cols>
  <sheetData>
    <row r="1" spans="1:3" x14ac:dyDescent="0.25">
      <c r="A1" s="3" t="s">
        <v>38</v>
      </c>
      <c r="B1" s="5" t="s">
        <v>47</v>
      </c>
      <c r="C1" s="5" t="s">
        <v>552</v>
      </c>
    </row>
    <row r="2" spans="1:3" x14ac:dyDescent="0.25">
      <c r="A2" s="7" t="s">
        <v>48</v>
      </c>
      <c r="B2" s="22">
        <f>AVERAGE(B3:B6)</f>
        <v>4</v>
      </c>
      <c r="C2" s="22" t="s">
        <v>499</v>
      </c>
    </row>
    <row r="3" spans="1:3" x14ac:dyDescent="0.25">
      <c r="A3" s="6" t="s">
        <v>49</v>
      </c>
      <c r="B3" s="21">
        <v>4</v>
      </c>
    </row>
    <row r="4" spans="1:3" x14ac:dyDescent="0.25">
      <c r="A4" s="6" t="s">
        <v>57</v>
      </c>
      <c r="B4" s="21">
        <v>4</v>
      </c>
    </row>
    <row r="5" spans="1:3" x14ac:dyDescent="0.25">
      <c r="A5" s="6" t="s">
        <v>60</v>
      </c>
      <c r="B5" s="21">
        <v>4</v>
      </c>
    </row>
    <row r="6" spans="1:3" x14ac:dyDescent="0.25">
      <c r="A6" s="6" t="s">
        <v>63</v>
      </c>
      <c r="B6" s="21">
        <v>4</v>
      </c>
    </row>
    <row r="7" spans="1:3" x14ac:dyDescent="0.25">
      <c r="A7" s="7" t="s">
        <v>937</v>
      </c>
      <c r="B7" s="22">
        <f>AVERAGE(B8:B12)</f>
        <v>3.4</v>
      </c>
      <c r="C7" s="22" t="s">
        <v>499</v>
      </c>
    </row>
    <row r="8" spans="1:3" x14ac:dyDescent="0.25">
      <c r="A8" s="11" t="s">
        <v>946</v>
      </c>
      <c r="B8" s="21">
        <v>4</v>
      </c>
    </row>
    <row r="9" spans="1:3" x14ac:dyDescent="0.25">
      <c r="A9" s="11" t="s">
        <v>940</v>
      </c>
      <c r="B9" s="21">
        <v>3</v>
      </c>
    </row>
    <row r="10" spans="1:3" x14ac:dyDescent="0.25">
      <c r="A10" s="11" t="s">
        <v>941</v>
      </c>
      <c r="B10" s="21">
        <v>3</v>
      </c>
    </row>
    <row r="11" spans="1:3" x14ac:dyDescent="0.25">
      <c r="A11" s="11" t="s">
        <v>947</v>
      </c>
      <c r="B11" s="21">
        <v>3</v>
      </c>
    </row>
    <row r="12" spans="1:3" x14ac:dyDescent="0.25">
      <c r="A12" s="11" t="s">
        <v>948</v>
      </c>
      <c r="B12" s="21">
        <v>4</v>
      </c>
    </row>
    <row r="13" spans="1:3" x14ac:dyDescent="0.25">
      <c r="A13" s="7" t="s">
        <v>957</v>
      </c>
      <c r="B13" s="22">
        <f>AVERAGE(B14:B17)</f>
        <v>3.75</v>
      </c>
      <c r="C13" s="22"/>
    </row>
    <row r="14" spans="1:3" x14ac:dyDescent="0.25">
      <c r="A14" s="6" t="s">
        <v>958</v>
      </c>
      <c r="B14" s="21">
        <v>4</v>
      </c>
    </row>
    <row r="15" spans="1:3" x14ac:dyDescent="0.25">
      <c r="A15" s="6" t="s">
        <v>959</v>
      </c>
      <c r="B15" s="21">
        <v>4</v>
      </c>
    </row>
    <row r="16" spans="1:3" x14ac:dyDescent="0.25">
      <c r="A16" s="6" t="s">
        <v>960</v>
      </c>
      <c r="B16" s="21">
        <v>4</v>
      </c>
    </row>
    <row r="17" spans="1:3" x14ac:dyDescent="0.25">
      <c r="A17" s="20" t="s">
        <v>70</v>
      </c>
      <c r="B17" s="21">
        <v>3</v>
      </c>
    </row>
    <row r="18" spans="1:3" x14ac:dyDescent="0.25">
      <c r="A18" s="7" t="s">
        <v>71</v>
      </c>
      <c r="B18" s="22">
        <f>AVERAGE(B19:B21)</f>
        <v>2.3333333333333335</v>
      </c>
      <c r="C18" s="22" t="s">
        <v>499</v>
      </c>
    </row>
    <row r="19" spans="1:3" x14ac:dyDescent="0.25">
      <c r="A19" s="6" t="s">
        <v>72</v>
      </c>
      <c r="B19" s="21">
        <v>3</v>
      </c>
    </row>
    <row r="20" spans="1:3" x14ac:dyDescent="0.25">
      <c r="A20" s="6" t="s">
        <v>75</v>
      </c>
      <c r="B20" s="21">
        <v>2</v>
      </c>
    </row>
    <row r="21" spans="1:3" x14ac:dyDescent="0.25">
      <c r="A21" s="6" t="s">
        <v>77</v>
      </c>
      <c r="B21" s="21">
        <v>2</v>
      </c>
    </row>
    <row r="22" spans="1:3" x14ac:dyDescent="0.25">
      <c r="A22" s="7" t="s">
        <v>79</v>
      </c>
      <c r="B22" s="22">
        <f>AVERAGE(B23:B31)</f>
        <v>3.1111111111111112</v>
      </c>
      <c r="C22" s="22" t="s">
        <v>499</v>
      </c>
    </row>
    <row r="23" spans="1:3" x14ac:dyDescent="0.25">
      <c r="A23" s="6" t="s">
        <v>80</v>
      </c>
      <c r="B23" s="21">
        <v>3</v>
      </c>
    </row>
    <row r="24" spans="1:3" x14ac:dyDescent="0.25">
      <c r="A24" s="6" t="s">
        <v>82</v>
      </c>
      <c r="B24" s="21">
        <v>2</v>
      </c>
    </row>
    <row r="25" spans="1:3" x14ac:dyDescent="0.25">
      <c r="A25" s="6" t="s">
        <v>85</v>
      </c>
      <c r="B25" s="21">
        <v>2</v>
      </c>
    </row>
    <row r="26" spans="1:3" x14ac:dyDescent="0.25">
      <c r="A26" s="6" t="s">
        <v>88</v>
      </c>
      <c r="B26" s="21">
        <v>2</v>
      </c>
    </row>
    <row r="27" spans="1:3" x14ac:dyDescent="0.25">
      <c r="A27" s="6" t="s">
        <v>90</v>
      </c>
      <c r="B27" s="21">
        <v>4</v>
      </c>
    </row>
    <row r="28" spans="1:3" x14ac:dyDescent="0.25">
      <c r="A28" s="6" t="s">
        <v>92</v>
      </c>
      <c r="B28" s="21">
        <v>4</v>
      </c>
    </row>
    <row r="29" spans="1:3" x14ac:dyDescent="0.25">
      <c r="A29" s="6" t="s">
        <v>94</v>
      </c>
      <c r="B29" s="21">
        <v>4</v>
      </c>
    </row>
    <row r="30" spans="1:3" x14ac:dyDescent="0.25">
      <c r="A30" s="6" t="s">
        <v>97</v>
      </c>
      <c r="B30" s="21">
        <v>3</v>
      </c>
    </row>
    <row r="31" spans="1:3" x14ac:dyDescent="0.25">
      <c r="A31" s="6" t="s">
        <v>100</v>
      </c>
      <c r="B31" s="21">
        <v>4</v>
      </c>
    </row>
    <row r="32" spans="1:3" x14ac:dyDescent="0.25">
      <c r="A32" s="7" t="s">
        <v>961</v>
      </c>
      <c r="B32" s="22">
        <f>AVERAGE(B33:B36)</f>
        <v>3.25</v>
      </c>
      <c r="C32" s="22" t="s">
        <v>499</v>
      </c>
    </row>
    <row r="33" spans="1:3" x14ac:dyDescent="0.25">
      <c r="A33" s="6" t="s">
        <v>962</v>
      </c>
      <c r="B33" s="21">
        <v>3</v>
      </c>
    </row>
    <row r="34" spans="1:3" x14ac:dyDescent="0.25">
      <c r="A34" s="6" t="s">
        <v>963</v>
      </c>
      <c r="B34" s="21">
        <v>3</v>
      </c>
    </row>
    <row r="35" spans="1:3" x14ac:dyDescent="0.25">
      <c r="A35" s="6" t="s">
        <v>104</v>
      </c>
      <c r="B35" s="21">
        <v>4</v>
      </c>
    </row>
    <row r="36" spans="1:3" x14ac:dyDescent="0.25">
      <c r="A36" s="6" t="s">
        <v>107</v>
      </c>
      <c r="B36" s="21">
        <v>3</v>
      </c>
    </row>
    <row r="37" spans="1:3" x14ac:dyDescent="0.25">
      <c r="A37" s="7" t="s">
        <v>938</v>
      </c>
      <c r="B37" s="22">
        <f>AVERAGE(B38:B40)</f>
        <v>3.6666666666666665</v>
      </c>
      <c r="C37" s="22" t="s">
        <v>499</v>
      </c>
    </row>
    <row r="38" spans="1:3" x14ac:dyDescent="0.25">
      <c r="A38" s="6" t="s">
        <v>949</v>
      </c>
      <c r="B38" s="21">
        <v>4</v>
      </c>
    </row>
    <row r="39" spans="1:3" x14ac:dyDescent="0.25">
      <c r="A39" s="6" t="s">
        <v>950</v>
      </c>
      <c r="B39" s="21">
        <v>3</v>
      </c>
    </row>
    <row r="40" spans="1:3" x14ac:dyDescent="0.25">
      <c r="A40" s="6" t="s">
        <v>954</v>
      </c>
      <c r="B40" s="21">
        <v>4</v>
      </c>
    </row>
    <row r="41" spans="1:3" x14ac:dyDescent="0.25">
      <c r="A41" s="7" t="s">
        <v>939</v>
      </c>
      <c r="B41" s="22">
        <f>AVERAGE(B42:B45)</f>
        <v>2.5</v>
      </c>
      <c r="C41" s="22" t="s">
        <v>499</v>
      </c>
    </row>
    <row r="42" spans="1:3" x14ac:dyDescent="0.25">
      <c r="A42" s="6" t="s">
        <v>951</v>
      </c>
      <c r="B42" s="21">
        <v>4</v>
      </c>
    </row>
    <row r="43" spans="1:3" x14ac:dyDescent="0.25">
      <c r="A43" s="6" t="s">
        <v>952</v>
      </c>
      <c r="B43" s="21">
        <v>2</v>
      </c>
    </row>
    <row r="44" spans="1:3" x14ac:dyDescent="0.25">
      <c r="A44" s="6" t="s">
        <v>955</v>
      </c>
      <c r="B44" s="21">
        <v>2</v>
      </c>
    </row>
    <row r="45" spans="1:3" x14ac:dyDescent="0.25">
      <c r="A45" s="6" t="s">
        <v>956</v>
      </c>
      <c r="B45" s="21">
        <v>2</v>
      </c>
    </row>
    <row r="46" spans="1:3" x14ac:dyDescent="0.25">
      <c r="A46" s="7" t="s">
        <v>114</v>
      </c>
      <c r="B46" s="22">
        <f>AVERAGE(B47:B50)</f>
        <v>2.25</v>
      </c>
      <c r="C46" s="22"/>
    </row>
    <row r="47" spans="1:3" x14ac:dyDescent="0.25">
      <c r="A47" s="6" t="s">
        <v>115</v>
      </c>
      <c r="B47" s="21">
        <v>4</v>
      </c>
    </row>
    <row r="48" spans="1:3" x14ac:dyDescent="0.25">
      <c r="A48" s="6" t="s">
        <v>117</v>
      </c>
      <c r="B48" s="21">
        <v>2</v>
      </c>
    </row>
    <row r="49" spans="1:3" x14ac:dyDescent="0.25">
      <c r="A49" s="6" t="s">
        <v>120</v>
      </c>
      <c r="B49" s="21">
        <v>2</v>
      </c>
    </row>
    <row r="50" spans="1:3" x14ac:dyDescent="0.25">
      <c r="A50" s="6" t="s">
        <v>123</v>
      </c>
      <c r="B50" s="21">
        <v>1</v>
      </c>
    </row>
    <row r="51" spans="1:3" x14ac:dyDescent="0.25">
      <c r="A51" s="7" t="s">
        <v>126</v>
      </c>
      <c r="B51" s="22">
        <f>AVERAGE(B52:B54)</f>
        <v>3</v>
      </c>
      <c r="C51" s="22"/>
    </row>
    <row r="52" spans="1:3" x14ac:dyDescent="0.25">
      <c r="A52" s="6" t="s">
        <v>127</v>
      </c>
      <c r="B52" s="21">
        <v>3</v>
      </c>
    </row>
    <row r="53" spans="1:3" x14ac:dyDescent="0.25">
      <c r="A53" s="6" t="s">
        <v>129</v>
      </c>
      <c r="B53" s="21">
        <v>3</v>
      </c>
    </row>
    <row r="54" spans="1:3" x14ac:dyDescent="0.25">
      <c r="A54" s="6" t="s">
        <v>132</v>
      </c>
      <c r="B54" s="21">
        <v>3</v>
      </c>
    </row>
    <row r="55" spans="1:3" x14ac:dyDescent="0.25">
      <c r="A55" s="7" t="s">
        <v>134</v>
      </c>
      <c r="B55" s="22">
        <f>AVERAGE(B56:B59)</f>
        <v>3.75</v>
      </c>
      <c r="C55" s="22"/>
    </row>
    <row r="56" spans="1:3" x14ac:dyDescent="0.25">
      <c r="A56" s="6" t="s">
        <v>135</v>
      </c>
      <c r="B56" s="21">
        <v>4</v>
      </c>
    </row>
    <row r="57" spans="1:3" x14ac:dyDescent="0.25">
      <c r="A57" s="6" t="s">
        <v>137</v>
      </c>
      <c r="B57" s="21">
        <v>3</v>
      </c>
    </row>
    <row r="58" spans="1:3" x14ac:dyDescent="0.25">
      <c r="A58" s="6" t="s">
        <v>139</v>
      </c>
      <c r="B58" s="21">
        <v>4</v>
      </c>
    </row>
    <row r="59" spans="1:3" x14ac:dyDescent="0.25">
      <c r="A59" s="6" t="s">
        <v>142</v>
      </c>
      <c r="B59" s="21">
        <v>4</v>
      </c>
    </row>
    <row r="60" spans="1:3" x14ac:dyDescent="0.25">
      <c r="A60" s="7" t="s">
        <v>145</v>
      </c>
      <c r="B60" s="22">
        <f>AVERAGE(B61:B64)</f>
        <v>3.75</v>
      </c>
      <c r="C60" s="22" t="s">
        <v>499</v>
      </c>
    </row>
    <row r="61" spans="1:3" x14ac:dyDescent="0.25">
      <c r="A61" s="6" t="s">
        <v>146</v>
      </c>
      <c r="B61" s="21">
        <v>4</v>
      </c>
    </row>
    <row r="62" spans="1:3" x14ac:dyDescent="0.25">
      <c r="A62" s="6" t="s">
        <v>148</v>
      </c>
      <c r="B62" s="21">
        <v>3</v>
      </c>
    </row>
    <row r="63" spans="1:3" x14ac:dyDescent="0.25">
      <c r="A63" s="6" t="s">
        <v>150</v>
      </c>
      <c r="B63" s="21">
        <v>4</v>
      </c>
    </row>
    <row r="64" spans="1:3" x14ac:dyDescent="0.25">
      <c r="A64" s="6" t="s">
        <v>152</v>
      </c>
      <c r="B64" s="21">
        <v>4</v>
      </c>
    </row>
    <row r="65" spans="1:3" x14ac:dyDescent="0.25">
      <c r="A65" s="7" t="s">
        <v>155</v>
      </c>
      <c r="B65" s="22">
        <f>AVERAGE(B66:B71)</f>
        <v>3.3333333333333335</v>
      </c>
      <c r="C65" s="22" t="s">
        <v>499</v>
      </c>
    </row>
    <row r="66" spans="1:3" x14ac:dyDescent="0.25">
      <c r="A66" s="6" t="s">
        <v>156</v>
      </c>
      <c r="B66" s="21">
        <v>3</v>
      </c>
    </row>
    <row r="67" spans="1:3" x14ac:dyDescent="0.25">
      <c r="A67" s="6" t="s">
        <v>159</v>
      </c>
      <c r="B67" s="21">
        <v>4</v>
      </c>
    </row>
    <row r="68" spans="1:3" x14ac:dyDescent="0.25">
      <c r="A68" s="6" t="s">
        <v>162</v>
      </c>
      <c r="B68" s="21">
        <v>3</v>
      </c>
    </row>
    <row r="69" spans="1:3" x14ac:dyDescent="0.25">
      <c r="A69" s="6" t="s">
        <v>164</v>
      </c>
      <c r="B69" s="21">
        <v>4</v>
      </c>
    </row>
    <row r="70" spans="1:3" x14ac:dyDescent="0.25">
      <c r="A70" s="6" t="s">
        <v>167</v>
      </c>
      <c r="B70" s="21">
        <v>4</v>
      </c>
    </row>
    <row r="71" spans="1:3" x14ac:dyDescent="0.25">
      <c r="A71" s="6" t="s">
        <v>170</v>
      </c>
      <c r="B71" s="21">
        <v>2</v>
      </c>
    </row>
    <row r="72" spans="1:3" x14ac:dyDescent="0.25">
      <c r="A72" s="7" t="s">
        <v>173</v>
      </c>
      <c r="B72" s="22">
        <f>AVERAGE(B73:B79)</f>
        <v>3.1428571428571428</v>
      </c>
      <c r="C72" s="22" t="s">
        <v>499</v>
      </c>
    </row>
    <row r="73" spans="1:3" x14ac:dyDescent="0.25">
      <c r="A73" s="6" t="s">
        <v>174</v>
      </c>
      <c r="B73" s="21">
        <v>3</v>
      </c>
    </row>
    <row r="74" spans="1:3" x14ac:dyDescent="0.25">
      <c r="A74" s="6" t="s">
        <v>177</v>
      </c>
      <c r="B74" s="21">
        <v>2</v>
      </c>
    </row>
    <row r="75" spans="1:3" x14ac:dyDescent="0.25">
      <c r="A75" s="6" t="s">
        <v>180</v>
      </c>
      <c r="B75" s="21">
        <v>2</v>
      </c>
    </row>
    <row r="76" spans="1:3" x14ac:dyDescent="0.25">
      <c r="A76" s="6" t="s">
        <v>182</v>
      </c>
      <c r="B76" s="21">
        <v>4</v>
      </c>
    </row>
    <row r="77" spans="1:3" x14ac:dyDescent="0.25">
      <c r="A77" s="6" t="s">
        <v>184</v>
      </c>
      <c r="B77" s="21">
        <v>4</v>
      </c>
    </row>
    <row r="78" spans="1:3" x14ac:dyDescent="0.25">
      <c r="A78" s="6" t="s">
        <v>187</v>
      </c>
      <c r="B78" s="21">
        <v>3</v>
      </c>
    </row>
    <row r="79" spans="1:3" x14ac:dyDescent="0.25">
      <c r="A79" s="6" t="s">
        <v>189</v>
      </c>
      <c r="B79" s="21">
        <v>4</v>
      </c>
    </row>
    <row r="80" spans="1:3" x14ac:dyDescent="0.25">
      <c r="A80" s="7" t="s">
        <v>191</v>
      </c>
      <c r="B80" s="22">
        <f>AVERAGE(B81:B86)</f>
        <v>2.1666666666666665</v>
      </c>
      <c r="C80" s="22"/>
    </row>
    <row r="81" spans="1:3" x14ac:dyDescent="0.25">
      <c r="A81" s="6" t="s">
        <v>192</v>
      </c>
      <c r="B81" s="21">
        <v>2</v>
      </c>
    </row>
    <row r="82" spans="1:3" x14ac:dyDescent="0.25">
      <c r="A82" s="6" t="s">
        <v>195</v>
      </c>
      <c r="B82" s="21">
        <v>3</v>
      </c>
    </row>
    <row r="83" spans="1:3" x14ac:dyDescent="0.25">
      <c r="A83" s="6" t="s">
        <v>197</v>
      </c>
      <c r="B83" s="21">
        <v>1</v>
      </c>
    </row>
    <row r="84" spans="1:3" x14ac:dyDescent="0.25">
      <c r="A84" s="6" t="s">
        <v>200</v>
      </c>
      <c r="B84" s="21">
        <v>2</v>
      </c>
    </row>
    <row r="85" spans="1:3" x14ac:dyDescent="0.25">
      <c r="A85" s="6" t="s">
        <v>203</v>
      </c>
      <c r="B85" s="21">
        <v>1</v>
      </c>
    </row>
    <row r="86" spans="1:3" x14ac:dyDescent="0.25">
      <c r="A86" s="6" t="s">
        <v>207</v>
      </c>
      <c r="B86" s="21">
        <v>4</v>
      </c>
    </row>
    <row r="87" spans="1:3" x14ac:dyDescent="0.25">
      <c r="A87" s="7" t="s">
        <v>210</v>
      </c>
      <c r="B87" s="22">
        <f>AVERAGE(B88:B91)</f>
        <v>3.5</v>
      </c>
      <c r="C87" s="22" t="s">
        <v>499</v>
      </c>
    </row>
    <row r="88" spans="1:3" x14ac:dyDescent="0.25">
      <c r="A88" s="6" t="s">
        <v>211</v>
      </c>
      <c r="B88" s="21">
        <v>3</v>
      </c>
    </row>
    <row r="89" spans="1:3" x14ac:dyDescent="0.25">
      <c r="A89" s="6" t="s">
        <v>214</v>
      </c>
      <c r="B89" s="21">
        <v>4</v>
      </c>
    </row>
    <row r="90" spans="1:3" x14ac:dyDescent="0.25">
      <c r="A90" s="6" t="s">
        <v>216</v>
      </c>
      <c r="B90" s="21">
        <v>3</v>
      </c>
    </row>
    <row r="91" spans="1:3" x14ac:dyDescent="0.25">
      <c r="A91" s="6" t="s">
        <v>218</v>
      </c>
      <c r="B91" s="21">
        <v>4</v>
      </c>
    </row>
    <row r="92" spans="1:3" x14ac:dyDescent="0.25">
      <c r="A92" s="7" t="s">
        <v>220</v>
      </c>
      <c r="B92" s="22">
        <f>AVERAGE(B93:B98)</f>
        <v>2</v>
      </c>
      <c r="C92" s="22" t="s">
        <v>499</v>
      </c>
    </row>
    <row r="93" spans="1:3" x14ac:dyDescent="0.25">
      <c r="A93" s="6" t="s">
        <v>221</v>
      </c>
      <c r="B93" s="21">
        <v>3</v>
      </c>
    </row>
    <row r="94" spans="1:3" x14ac:dyDescent="0.25">
      <c r="A94" s="6" t="s">
        <v>224</v>
      </c>
      <c r="B94" s="21">
        <v>2</v>
      </c>
    </row>
    <row r="95" spans="1:3" x14ac:dyDescent="0.25">
      <c r="A95" s="6" t="s">
        <v>228</v>
      </c>
      <c r="B95" s="21">
        <v>2</v>
      </c>
    </row>
    <row r="96" spans="1:3" x14ac:dyDescent="0.25">
      <c r="A96" s="6" t="s">
        <v>231</v>
      </c>
      <c r="B96" s="21">
        <v>2</v>
      </c>
    </row>
    <row r="97" spans="1:3" x14ac:dyDescent="0.25">
      <c r="A97" s="6" t="s">
        <v>235</v>
      </c>
      <c r="B97" s="21">
        <v>2</v>
      </c>
    </row>
    <row r="98" spans="1:3" x14ac:dyDescent="0.25">
      <c r="A98" s="6" t="s">
        <v>239</v>
      </c>
      <c r="B98" s="21">
        <v>1</v>
      </c>
    </row>
    <row r="99" spans="1:3" x14ac:dyDescent="0.25">
      <c r="A99" s="7" t="s">
        <v>241</v>
      </c>
      <c r="B99" s="22">
        <f>AVERAGE(B100:B104)</f>
        <v>4</v>
      </c>
      <c r="C99" s="22" t="s">
        <v>499</v>
      </c>
    </row>
    <row r="100" spans="1:3" x14ac:dyDescent="0.25">
      <c r="A100" s="6" t="s">
        <v>242</v>
      </c>
      <c r="B100" s="21">
        <v>4</v>
      </c>
    </row>
    <row r="101" spans="1:3" x14ac:dyDescent="0.25">
      <c r="A101" s="6" t="s">
        <v>244</v>
      </c>
      <c r="B101" s="21">
        <v>4</v>
      </c>
    </row>
    <row r="102" spans="1:3" x14ac:dyDescent="0.25">
      <c r="A102" s="6" t="s">
        <v>246</v>
      </c>
      <c r="B102" s="21">
        <v>4</v>
      </c>
    </row>
    <row r="103" spans="1:3" x14ac:dyDescent="0.25">
      <c r="A103" s="6" t="s">
        <v>250</v>
      </c>
      <c r="B103" s="21">
        <v>4</v>
      </c>
    </row>
    <row r="104" spans="1:3" x14ac:dyDescent="0.25">
      <c r="A104" s="6" t="s">
        <v>253</v>
      </c>
      <c r="B104" s="21">
        <v>4</v>
      </c>
    </row>
    <row r="105" spans="1:3" x14ac:dyDescent="0.25">
      <c r="A105" s="7" t="s">
        <v>255</v>
      </c>
      <c r="B105" s="22">
        <f>AVERAGE(B106:B108)</f>
        <v>3</v>
      </c>
      <c r="C105" s="22" t="s">
        <v>499</v>
      </c>
    </row>
    <row r="106" spans="1:3" x14ac:dyDescent="0.25">
      <c r="A106" s="6" t="s">
        <v>256</v>
      </c>
      <c r="B106" s="21">
        <v>2</v>
      </c>
    </row>
    <row r="107" spans="1:3" x14ac:dyDescent="0.25">
      <c r="A107" s="6" t="s">
        <v>258</v>
      </c>
      <c r="B107" s="21">
        <v>4</v>
      </c>
    </row>
    <row r="108" spans="1:3" x14ac:dyDescent="0.25">
      <c r="A108" s="6" t="s">
        <v>261</v>
      </c>
      <c r="B108" s="21">
        <v>3</v>
      </c>
    </row>
    <row r="109" spans="1:3" x14ac:dyDescent="0.25">
      <c r="A109" s="7" t="s">
        <v>264</v>
      </c>
      <c r="B109" s="22">
        <f>AVERAGE(B110:B113)</f>
        <v>2.5</v>
      </c>
      <c r="C109" s="22"/>
    </row>
    <row r="110" spans="1:3" x14ac:dyDescent="0.25">
      <c r="A110" s="6" t="s">
        <v>265</v>
      </c>
      <c r="B110" s="21">
        <v>4</v>
      </c>
    </row>
    <row r="111" spans="1:3" x14ac:dyDescent="0.25">
      <c r="A111" s="6" t="s">
        <v>267</v>
      </c>
      <c r="B111" s="21">
        <v>3</v>
      </c>
    </row>
    <row r="112" spans="1:3" x14ac:dyDescent="0.25">
      <c r="A112" s="6" t="s">
        <v>270</v>
      </c>
      <c r="B112" s="21">
        <v>2</v>
      </c>
    </row>
    <row r="113" spans="1:3" x14ac:dyDescent="0.25">
      <c r="A113" s="6" t="s">
        <v>273</v>
      </c>
      <c r="B113" s="21">
        <v>1</v>
      </c>
    </row>
    <row r="114" spans="1:3" x14ac:dyDescent="0.25">
      <c r="A114" s="7" t="s">
        <v>275</v>
      </c>
      <c r="B114" s="22">
        <f>AVERAGE(B115:B118)</f>
        <v>3</v>
      </c>
      <c r="C114" s="22" t="s">
        <v>499</v>
      </c>
    </row>
    <row r="115" spans="1:3" x14ac:dyDescent="0.25">
      <c r="A115" s="6" t="s">
        <v>276</v>
      </c>
      <c r="B115" s="21">
        <v>3</v>
      </c>
    </row>
    <row r="116" spans="1:3" x14ac:dyDescent="0.25">
      <c r="A116" s="6" t="s">
        <v>279</v>
      </c>
      <c r="B116" s="21">
        <v>4</v>
      </c>
    </row>
    <row r="117" spans="1:3" x14ac:dyDescent="0.25">
      <c r="A117" s="6" t="s">
        <v>282</v>
      </c>
      <c r="B117" s="21">
        <v>2</v>
      </c>
    </row>
    <row r="118" spans="1:3" x14ac:dyDescent="0.25">
      <c r="A118" s="6" t="s">
        <v>953</v>
      </c>
      <c r="B118" s="21">
        <v>3</v>
      </c>
    </row>
    <row r="119" spans="1:3" x14ac:dyDescent="0.25">
      <c r="A119" s="7" t="s">
        <v>285</v>
      </c>
      <c r="B119" s="22">
        <f>AVERAGE(B120:B123)</f>
        <v>2.75</v>
      </c>
      <c r="C119" s="22"/>
    </row>
    <row r="120" spans="1:3" x14ac:dyDescent="0.25">
      <c r="A120" s="6" t="s">
        <v>286</v>
      </c>
      <c r="B120" s="21">
        <v>4</v>
      </c>
    </row>
    <row r="121" spans="1:3" x14ac:dyDescent="0.25">
      <c r="A121" s="6" t="s">
        <v>289</v>
      </c>
      <c r="B121" s="21">
        <v>3</v>
      </c>
    </row>
    <row r="122" spans="1:3" x14ac:dyDescent="0.25">
      <c r="A122" s="6" t="s">
        <v>292</v>
      </c>
      <c r="B122" s="21">
        <v>2</v>
      </c>
    </row>
    <row r="123" spans="1:3" x14ac:dyDescent="0.25">
      <c r="A123" s="6" t="s">
        <v>294</v>
      </c>
      <c r="B123" s="21">
        <v>2</v>
      </c>
    </row>
    <row r="124" spans="1:3" x14ac:dyDescent="0.25">
      <c r="A124" s="7" t="s">
        <v>296</v>
      </c>
      <c r="B124" s="22">
        <f>AVERAGE(B125:B127)</f>
        <v>3.6666666666666665</v>
      </c>
      <c r="C124" s="22"/>
    </row>
    <row r="125" spans="1:3" x14ac:dyDescent="0.25">
      <c r="A125" s="6" t="s">
        <v>297</v>
      </c>
      <c r="B125" s="21">
        <v>3</v>
      </c>
    </row>
    <row r="126" spans="1:3" x14ac:dyDescent="0.25">
      <c r="A126" s="6" t="s">
        <v>299</v>
      </c>
      <c r="B126" s="21">
        <v>4</v>
      </c>
    </row>
    <row r="127" spans="1:3" x14ac:dyDescent="0.25">
      <c r="A127" s="6" t="s">
        <v>301</v>
      </c>
      <c r="B127" s="21">
        <v>4</v>
      </c>
    </row>
    <row r="128" spans="1:3" x14ac:dyDescent="0.25">
      <c r="A128" s="7" t="s">
        <v>304</v>
      </c>
      <c r="B128" s="22">
        <f>AVERAGE(B129:B132)</f>
        <v>3.75</v>
      </c>
      <c r="C128" s="22" t="s">
        <v>499</v>
      </c>
    </row>
    <row r="129" spans="1:3" x14ac:dyDescent="0.25">
      <c r="A129" s="6" t="s">
        <v>305</v>
      </c>
      <c r="B129" s="21">
        <v>4</v>
      </c>
    </row>
    <row r="130" spans="1:3" x14ac:dyDescent="0.25">
      <c r="A130" s="6" t="s">
        <v>308</v>
      </c>
      <c r="B130" s="21">
        <v>3</v>
      </c>
    </row>
    <row r="131" spans="1:3" x14ac:dyDescent="0.25">
      <c r="A131" s="6" t="s">
        <v>310</v>
      </c>
      <c r="B131" s="21">
        <v>4</v>
      </c>
    </row>
    <row r="132" spans="1:3" x14ac:dyDescent="0.25">
      <c r="A132" s="6" t="s">
        <v>312</v>
      </c>
      <c r="B132" s="21">
        <v>4</v>
      </c>
    </row>
    <row r="133" spans="1:3" x14ac:dyDescent="0.25">
      <c r="A133" s="7" t="s">
        <v>314</v>
      </c>
      <c r="B133" s="22">
        <f>AVERAGE(B134:B138)</f>
        <v>2.4</v>
      </c>
      <c r="C133" s="22" t="s">
        <v>499</v>
      </c>
    </row>
    <row r="134" spans="1:3" x14ac:dyDescent="0.25">
      <c r="A134" s="6" t="s">
        <v>315</v>
      </c>
      <c r="B134" s="21">
        <v>3</v>
      </c>
    </row>
    <row r="135" spans="1:3" x14ac:dyDescent="0.25">
      <c r="A135" s="6" t="s">
        <v>317</v>
      </c>
      <c r="B135" s="21">
        <v>3</v>
      </c>
    </row>
    <row r="136" spans="1:3" x14ac:dyDescent="0.25">
      <c r="A136" s="6" t="s">
        <v>320</v>
      </c>
      <c r="B136" s="21">
        <v>2</v>
      </c>
    </row>
    <row r="137" spans="1:3" x14ac:dyDescent="0.25">
      <c r="A137" s="6" t="s">
        <v>323</v>
      </c>
      <c r="B137" s="21">
        <v>1</v>
      </c>
    </row>
    <row r="138" spans="1:3" x14ac:dyDescent="0.25">
      <c r="A138" s="6" t="s">
        <v>326</v>
      </c>
      <c r="B138" s="21">
        <v>3</v>
      </c>
    </row>
    <row r="139" spans="1:3" x14ac:dyDescent="0.25">
      <c r="A139" s="7" t="s">
        <v>328</v>
      </c>
      <c r="B139" s="22">
        <f>AVERAGE(B140:B143)</f>
        <v>3</v>
      </c>
      <c r="C139" s="22" t="s">
        <v>499</v>
      </c>
    </row>
    <row r="140" spans="1:3" x14ac:dyDescent="0.25">
      <c r="A140" s="6" t="s">
        <v>329</v>
      </c>
      <c r="B140" s="21">
        <v>3</v>
      </c>
    </row>
    <row r="141" spans="1:3" x14ac:dyDescent="0.25">
      <c r="A141" s="6" t="s">
        <v>331</v>
      </c>
      <c r="B141" s="21">
        <v>3</v>
      </c>
    </row>
    <row r="142" spans="1:3" x14ac:dyDescent="0.25">
      <c r="A142" s="6" t="s">
        <v>334</v>
      </c>
      <c r="B142" s="21">
        <v>3</v>
      </c>
    </row>
    <row r="143" spans="1:3" x14ac:dyDescent="0.25">
      <c r="A143" s="6" t="s">
        <v>337</v>
      </c>
      <c r="B143" s="21">
        <v>3</v>
      </c>
    </row>
    <row r="144" spans="1:3" x14ac:dyDescent="0.25">
      <c r="A144" s="7" t="s">
        <v>340</v>
      </c>
      <c r="B144" s="22">
        <f>AVERAGE(B145:B150)</f>
        <v>2.6666666666666665</v>
      </c>
      <c r="C144" s="22"/>
    </row>
    <row r="145" spans="1:3" x14ac:dyDescent="0.25">
      <c r="A145" s="6" t="s">
        <v>341</v>
      </c>
      <c r="B145" s="21">
        <v>3</v>
      </c>
    </row>
    <row r="146" spans="1:3" x14ac:dyDescent="0.25">
      <c r="A146" s="6" t="s">
        <v>343</v>
      </c>
      <c r="B146" s="21">
        <v>3</v>
      </c>
    </row>
    <row r="147" spans="1:3" x14ac:dyDescent="0.25">
      <c r="A147" s="6" t="s">
        <v>346</v>
      </c>
      <c r="B147" s="21">
        <v>2</v>
      </c>
    </row>
    <row r="148" spans="1:3" x14ac:dyDescent="0.25">
      <c r="A148" s="6" t="s">
        <v>349</v>
      </c>
      <c r="B148" s="21">
        <v>1</v>
      </c>
    </row>
    <row r="149" spans="1:3" x14ac:dyDescent="0.25">
      <c r="A149" s="6" t="s">
        <v>351</v>
      </c>
      <c r="B149" s="21">
        <v>3</v>
      </c>
    </row>
    <row r="150" spans="1:3" x14ac:dyDescent="0.25">
      <c r="A150" s="6" t="s">
        <v>354</v>
      </c>
      <c r="B150" s="21">
        <v>4</v>
      </c>
    </row>
    <row r="151" spans="1:3" x14ac:dyDescent="0.25">
      <c r="A151" s="7" t="s">
        <v>356</v>
      </c>
      <c r="B151" s="22">
        <f>AVERAGE(B152:B155)</f>
        <v>2</v>
      </c>
      <c r="C151" s="22"/>
    </row>
    <row r="152" spans="1:3" x14ac:dyDescent="0.25">
      <c r="A152" s="6" t="s">
        <v>357</v>
      </c>
      <c r="B152" s="21">
        <v>3</v>
      </c>
    </row>
    <row r="153" spans="1:3" x14ac:dyDescent="0.25">
      <c r="A153" s="6" t="s">
        <v>360</v>
      </c>
      <c r="B153" s="21">
        <v>2</v>
      </c>
    </row>
    <row r="154" spans="1:3" x14ac:dyDescent="0.25">
      <c r="A154" s="6" t="s">
        <v>362</v>
      </c>
      <c r="B154" s="21">
        <v>1</v>
      </c>
    </row>
    <row r="155" spans="1:3" x14ac:dyDescent="0.25">
      <c r="A155" s="6" t="s">
        <v>364</v>
      </c>
      <c r="B155" s="2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8B02-CEC0-4E90-99E4-9553F3A57203}">
  <sheetPr>
    <tabColor theme="4" tint="0.79998168889431442"/>
  </sheetPr>
  <dimension ref="A1:T113"/>
  <sheetViews>
    <sheetView topLeftCell="A96" zoomScale="98" zoomScaleNormal="115" workbookViewId="0">
      <selection activeCell="A109" sqref="A109"/>
    </sheetView>
  </sheetViews>
  <sheetFormatPr defaultColWidth="10.75" defaultRowHeight="12.75" x14ac:dyDescent="0.2"/>
  <cols>
    <col min="1" max="1" width="76.375" style="6" customWidth="1"/>
    <col min="2" max="2" width="43" style="6" bestFit="1" customWidth="1"/>
    <col min="3" max="3" width="68.375" style="6" bestFit="1" customWidth="1"/>
    <col min="4" max="4" width="113.25" style="6" bestFit="1" customWidth="1"/>
    <col min="5" max="5" width="30.5" style="6" bestFit="1" customWidth="1"/>
    <col min="6" max="6" width="18.125" style="6" bestFit="1" customWidth="1"/>
    <col min="7" max="7" width="18.625" style="6" bestFit="1" customWidth="1"/>
    <col min="8" max="8" width="10.25" style="6" bestFit="1" customWidth="1"/>
    <col min="9" max="9" width="23.125" style="21" bestFit="1" customWidth="1"/>
    <col min="10" max="10" width="21" style="6" customWidth="1"/>
    <col min="11" max="11" width="20.25" style="6" customWidth="1"/>
    <col min="12" max="12" width="49" style="6" bestFit="1" customWidth="1"/>
    <col min="13" max="13" width="9.25" style="6" customWidth="1"/>
    <col min="14" max="14" width="10.5" style="21" bestFit="1" customWidth="1"/>
    <col min="15" max="15" width="27.25" style="6" customWidth="1"/>
    <col min="16" max="16384" width="10.75" style="6"/>
  </cols>
  <sheetData>
    <row r="1" spans="1:15" x14ac:dyDescent="0.2">
      <c r="A1" s="3" t="s">
        <v>367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5" t="s">
        <v>44</v>
      </c>
      <c r="J1" s="47" t="s">
        <v>45</v>
      </c>
      <c r="K1" s="47"/>
      <c r="L1" s="5" t="s">
        <v>46</v>
      </c>
      <c r="N1" s="5" t="s">
        <v>368</v>
      </c>
      <c r="O1" s="5"/>
    </row>
    <row r="2" spans="1:15" s="8" customFormat="1" x14ac:dyDescent="0.2">
      <c r="A2" s="7" t="s">
        <v>964</v>
      </c>
      <c r="C2" s="7" t="s">
        <v>964</v>
      </c>
      <c r="I2" s="22">
        <f>AVERAGE(I3:I7)</f>
        <v>1.6</v>
      </c>
      <c r="N2" s="22">
        <f>AVERAGE(N3:N7)</f>
        <v>2</v>
      </c>
    </row>
    <row r="3" spans="1:15" x14ac:dyDescent="0.2">
      <c r="A3" s="6" t="s">
        <v>965</v>
      </c>
      <c r="C3" s="6" t="s">
        <v>965</v>
      </c>
      <c r="D3" s="6" t="s">
        <v>997</v>
      </c>
      <c r="E3" s="6" t="s">
        <v>51</v>
      </c>
      <c r="F3" s="6" t="s">
        <v>66</v>
      </c>
      <c r="G3" s="6" t="s">
        <v>369</v>
      </c>
      <c r="H3" s="6" t="s">
        <v>370</v>
      </c>
      <c r="I3" s="21">
        <v>1</v>
      </c>
      <c r="J3" s="6" t="s">
        <v>55</v>
      </c>
      <c r="L3" s="6" t="s">
        <v>413</v>
      </c>
      <c r="N3" s="21">
        <v>2</v>
      </c>
    </row>
    <row r="4" spans="1:15" x14ac:dyDescent="0.2">
      <c r="A4" s="6" t="s">
        <v>966</v>
      </c>
      <c r="C4" s="6" t="s">
        <v>966</v>
      </c>
      <c r="D4" s="6" t="s">
        <v>371</v>
      </c>
      <c r="E4" s="6" t="s">
        <v>51</v>
      </c>
      <c r="F4" s="6" t="s">
        <v>66</v>
      </c>
      <c r="G4" s="6" t="s">
        <v>369</v>
      </c>
      <c r="H4" s="6" t="s">
        <v>370</v>
      </c>
      <c r="I4" s="21">
        <v>1</v>
      </c>
      <c r="J4" s="6" t="s">
        <v>55</v>
      </c>
      <c r="L4" s="6" t="s">
        <v>998</v>
      </c>
      <c r="N4" s="21">
        <v>2</v>
      </c>
    </row>
    <row r="5" spans="1:15" x14ac:dyDescent="0.2">
      <c r="A5" s="6" t="s">
        <v>967</v>
      </c>
      <c r="C5" s="6" t="s">
        <v>967</v>
      </c>
      <c r="D5" s="6" t="s">
        <v>372</v>
      </c>
      <c r="E5" s="6" t="s">
        <v>51</v>
      </c>
      <c r="F5" s="6" t="s">
        <v>66</v>
      </c>
      <c r="G5" s="6" t="s">
        <v>369</v>
      </c>
      <c r="H5" s="6" t="s">
        <v>370</v>
      </c>
      <c r="I5" s="21">
        <v>2</v>
      </c>
      <c r="J5" s="6" t="s">
        <v>55</v>
      </c>
      <c r="L5" s="6" t="s">
        <v>999</v>
      </c>
      <c r="N5" s="21">
        <v>2</v>
      </c>
    </row>
    <row r="6" spans="1:15" x14ac:dyDescent="0.2">
      <c r="A6" s="6" t="s">
        <v>969</v>
      </c>
      <c r="C6" s="6" t="s">
        <v>969</v>
      </c>
      <c r="D6" s="6" t="s">
        <v>373</v>
      </c>
      <c r="E6" s="6" t="s">
        <v>51</v>
      </c>
      <c r="F6" s="6" t="s">
        <v>66</v>
      </c>
      <c r="G6" s="6" t="s">
        <v>369</v>
      </c>
      <c r="H6" s="6" t="s">
        <v>370</v>
      </c>
      <c r="I6" s="21">
        <v>2</v>
      </c>
      <c r="J6" s="6" t="s">
        <v>55</v>
      </c>
      <c r="L6" s="6" t="s">
        <v>416</v>
      </c>
      <c r="N6" s="21">
        <v>2</v>
      </c>
    </row>
    <row r="7" spans="1:15" x14ac:dyDescent="0.2">
      <c r="A7" s="6" t="s">
        <v>970</v>
      </c>
      <c r="C7" s="6" t="s">
        <v>970</v>
      </c>
      <c r="D7" s="6" t="s">
        <v>1000</v>
      </c>
      <c r="E7" s="6" t="s">
        <v>51</v>
      </c>
      <c r="F7" s="6" t="s">
        <v>66</v>
      </c>
      <c r="G7" s="6" t="s">
        <v>369</v>
      </c>
      <c r="H7" s="6" t="s">
        <v>370</v>
      </c>
      <c r="I7" s="21">
        <v>2</v>
      </c>
      <c r="J7" s="6" t="s">
        <v>55</v>
      </c>
      <c r="L7" s="6" t="s">
        <v>419</v>
      </c>
      <c r="N7" s="21">
        <v>2</v>
      </c>
    </row>
    <row r="8" spans="1:15" s="8" customFormat="1" x14ac:dyDescent="0.2">
      <c r="A8" s="7" t="s">
        <v>374</v>
      </c>
      <c r="C8" s="7" t="s">
        <v>374</v>
      </c>
      <c r="I8" s="22">
        <f>AVERAGE(I9:I12)</f>
        <v>1.75</v>
      </c>
      <c r="N8" s="22">
        <f>AVERAGE(N9:N12)</f>
        <v>2.5</v>
      </c>
    </row>
    <row r="9" spans="1:15" x14ac:dyDescent="0.2">
      <c r="A9" s="20" t="s">
        <v>375</v>
      </c>
      <c r="C9" s="20" t="s">
        <v>375</v>
      </c>
      <c r="D9" s="6" t="s">
        <v>376</v>
      </c>
      <c r="E9" s="6" t="s">
        <v>51</v>
      </c>
      <c r="F9" s="6" t="s">
        <v>52</v>
      </c>
      <c r="G9" s="6" t="s">
        <v>369</v>
      </c>
      <c r="H9" s="6" t="s">
        <v>370</v>
      </c>
      <c r="I9" s="21">
        <v>1</v>
      </c>
      <c r="J9" s="6" t="s">
        <v>55</v>
      </c>
      <c r="L9" s="6" t="s">
        <v>377</v>
      </c>
      <c r="N9" s="21">
        <v>4</v>
      </c>
    </row>
    <row r="10" spans="1:15" x14ac:dyDescent="0.2">
      <c r="A10" s="20" t="s">
        <v>378</v>
      </c>
      <c r="C10" s="20" t="s">
        <v>378</v>
      </c>
      <c r="D10" s="6" t="s">
        <v>379</v>
      </c>
      <c r="E10" s="6" t="s">
        <v>51</v>
      </c>
      <c r="F10" s="6" t="s">
        <v>52</v>
      </c>
      <c r="G10" s="6" t="s">
        <v>369</v>
      </c>
      <c r="H10" s="6" t="s">
        <v>370</v>
      </c>
      <c r="I10" s="21">
        <v>2</v>
      </c>
      <c r="J10" s="6" t="s">
        <v>55</v>
      </c>
      <c r="L10" s="6" t="s">
        <v>380</v>
      </c>
      <c r="N10" s="21">
        <v>2</v>
      </c>
    </row>
    <row r="11" spans="1:15" x14ac:dyDescent="0.2">
      <c r="A11" s="20" t="s">
        <v>381</v>
      </c>
      <c r="C11" s="20" t="s">
        <v>381</v>
      </c>
      <c r="D11" s="6" t="s">
        <v>382</v>
      </c>
      <c r="E11" s="6" t="s">
        <v>51</v>
      </c>
      <c r="F11" s="6" t="s">
        <v>52</v>
      </c>
      <c r="G11" s="6" t="s">
        <v>369</v>
      </c>
      <c r="H11" s="6" t="s">
        <v>370</v>
      </c>
      <c r="I11" s="21">
        <v>1</v>
      </c>
      <c r="J11" s="6" t="s">
        <v>55</v>
      </c>
      <c r="L11" s="6" t="s">
        <v>383</v>
      </c>
      <c r="N11" s="21">
        <v>1</v>
      </c>
    </row>
    <row r="12" spans="1:15" x14ac:dyDescent="0.2">
      <c r="A12" s="20" t="s">
        <v>384</v>
      </c>
      <c r="C12" s="20" t="s">
        <v>384</v>
      </c>
      <c r="D12" s="6" t="s">
        <v>385</v>
      </c>
      <c r="E12" s="6" t="s">
        <v>51</v>
      </c>
      <c r="F12" s="6" t="s">
        <v>66</v>
      </c>
      <c r="G12" s="6" t="s">
        <v>369</v>
      </c>
      <c r="H12" s="6" t="s">
        <v>370</v>
      </c>
      <c r="I12" s="21">
        <v>3</v>
      </c>
      <c r="J12" s="6" t="s">
        <v>55</v>
      </c>
      <c r="L12" s="6" t="s">
        <v>386</v>
      </c>
      <c r="N12" s="21">
        <v>3</v>
      </c>
    </row>
    <row r="13" spans="1:15" s="8" customFormat="1" x14ac:dyDescent="0.2">
      <c r="A13" s="7" t="s">
        <v>387</v>
      </c>
      <c r="C13" s="7" t="s">
        <v>387</v>
      </c>
      <c r="I13" s="36">
        <f>AVERAGE(I14:I16)</f>
        <v>2.6666666666666665</v>
      </c>
      <c r="N13" s="36">
        <f>AVERAGE(N14:N16)</f>
        <v>3.3333333333333335</v>
      </c>
    </row>
    <row r="14" spans="1:15" x14ac:dyDescent="0.2">
      <c r="A14" s="6" t="s">
        <v>388</v>
      </c>
      <c r="C14" s="6" t="s">
        <v>388</v>
      </c>
      <c r="D14" s="6" t="s">
        <v>389</v>
      </c>
      <c r="E14" s="6" t="s">
        <v>51</v>
      </c>
      <c r="F14" s="6" t="s">
        <v>52</v>
      </c>
      <c r="G14" s="6" t="s">
        <v>369</v>
      </c>
      <c r="H14" s="6" t="s">
        <v>370</v>
      </c>
      <c r="I14" s="21">
        <v>3</v>
      </c>
      <c r="J14" s="6" t="s">
        <v>55</v>
      </c>
      <c r="L14" s="6" t="s">
        <v>390</v>
      </c>
      <c r="N14" s="21">
        <v>3</v>
      </c>
    </row>
    <row r="15" spans="1:15" x14ac:dyDescent="0.2">
      <c r="A15" s="6" t="s">
        <v>391</v>
      </c>
      <c r="C15" s="6" t="s">
        <v>391</v>
      </c>
      <c r="D15" s="6" t="s">
        <v>392</v>
      </c>
      <c r="E15" s="6" t="s">
        <v>51</v>
      </c>
      <c r="F15" s="6" t="s">
        <v>52</v>
      </c>
      <c r="G15" s="6" t="s">
        <v>369</v>
      </c>
      <c r="H15" s="6" t="s">
        <v>370</v>
      </c>
      <c r="I15" s="21">
        <v>2</v>
      </c>
      <c r="J15" s="6" t="s">
        <v>55</v>
      </c>
      <c r="L15" s="6" t="s">
        <v>393</v>
      </c>
      <c r="N15" s="21">
        <v>4</v>
      </c>
    </row>
    <row r="16" spans="1:15" x14ac:dyDescent="0.2">
      <c r="A16" s="6" t="s">
        <v>394</v>
      </c>
      <c r="C16" s="6" t="s">
        <v>394</v>
      </c>
      <c r="D16" s="6" t="s">
        <v>395</v>
      </c>
      <c r="E16" s="6" t="s">
        <v>51</v>
      </c>
      <c r="F16" s="6" t="s">
        <v>52</v>
      </c>
      <c r="G16" s="6" t="s">
        <v>369</v>
      </c>
      <c r="H16" s="6" t="s">
        <v>370</v>
      </c>
      <c r="I16" s="21">
        <v>3</v>
      </c>
      <c r="J16" s="6" t="s">
        <v>55</v>
      </c>
      <c r="L16" s="6" t="s">
        <v>396</v>
      </c>
      <c r="N16" s="21">
        <v>3</v>
      </c>
    </row>
    <row r="17" spans="1:14" s="8" customFormat="1" x14ac:dyDescent="0.2">
      <c r="A17" s="7" t="s">
        <v>397</v>
      </c>
      <c r="C17" s="7" t="s">
        <v>397</v>
      </c>
      <c r="I17" s="22">
        <f>AVERAGE(I18:I21)</f>
        <v>2.25</v>
      </c>
      <c r="N17" s="22">
        <f>AVERAGE(N18:N21)</f>
        <v>2</v>
      </c>
    </row>
    <row r="18" spans="1:14" x14ac:dyDescent="0.2">
      <c r="A18" s="6" t="s">
        <v>398</v>
      </c>
      <c r="C18" s="6" t="s">
        <v>398</v>
      </c>
      <c r="D18" s="6" t="s">
        <v>399</v>
      </c>
      <c r="E18" s="6" t="s">
        <v>51</v>
      </c>
      <c r="F18" s="6" t="s">
        <v>52</v>
      </c>
      <c r="G18" s="6" t="s">
        <v>369</v>
      </c>
      <c r="H18" s="6" t="s">
        <v>370</v>
      </c>
      <c r="I18" s="21">
        <v>2</v>
      </c>
      <c r="J18" s="6" t="s">
        <v>55</v>
      </c>
      <c r="L18" s="6" t="s">
        <v>400</v>
      </c>
      <c r="N18" s="21">
        <v>2</v>
      </c>
    </row>
    <row r="19" spans="1:14" x14ac:dyDescent="0.2">
      <c r="A19" s="6" t="s">
        <v>401</v>
      </c>
      <c r="C19" s="6" t="s">
        <v>401</v>
      </c>
      <c r="D19" s="6" t="s">
        <v>402</v>
      </c>
      <c r="E19" s="6" t="s">
        <v>51</v>
      </c>
      <c r="F19" s="6" t="s">
        <v>52</v>
      </c>
      <c r="G19" s="6" t="s">
        <v>369</v>
      </c>
      <c r="H19" s="6" t="s">
        <v>370</v>
      </c>
      <c r="I19" s="21">
        <v>2</v>
      </c>
      <c r="J19" s="6" t="s">
        <v>55</v>
      </c>
      <c r="L19" s="6" t="s">
        <v>403</v>
      </c>
      <c r="N19" s="21">
        <v>1</v>
      </c>
    </row>
    <row r="20" spans="1:14" x14ac:dyDescent="0.2">
      <c r="A20" s="6" t="s">
        <v>404</v>
      </c>
      <c r="C20" s="6" t="s">
        <v>404</v>
      </c>
      <c r="D20" s="6" t="s">
        <v>405</v>
      </c>
      <c r="E20" s="6" t="s">
        <v>51</v>
      </c>
      <c r="F20" s="6" t="s">
        <v>52</v>
      </c>
      <c r="G20" s="6" t="s">
        <v>369</v>
      </c>
      <c r="H20" s="6" t="s">
        <v>370</v>
      </c>
      <c r="I20" s="21">
        <v>2</v>
      </c>
      <c r="J20" s="6" t="s">
        <v>55</v>
      </c>
      <c r="L20" s="6" t="s">
        <v>406</v>
      </c>
      <c r="N20" s="21">
        <v>2</v>
      </c>
    </row>
    <row r="21" spans="1:14" x14ac:dyDescent="0.2">
      <c r="A21" s="6" t="s">
        <v>407</v>
      </c>
      <c r="C21" s="6" t="s">
        <v>407</v>
      </c>
      <c r="D21" s="6" t="s">
        <v>408</v>
      </c>
      <c r="E21" s="6" t="s">
        <v>51</v>
      </c>
      <c r="F21" s="6" t="s">
        <v>52</v>
      </c>
      <c r="G21" s="6" t="s">
        <v>369</v>
      </c>
      <c r="H21" s="6" t="s">
        <v>370</v>
      </c>
      <c r="I21" s="21">
        <v>3</v>
      </c>
      <c r="J21" s="6" t="s">
        <v>55</v>
      </c>
      <c r="L21" s="6" t="s">
        <v>409</v>
      </c>
      <c r="N21" s="21">
        <v>3</v>
      </c>
    </row>
    <row r="22" spans="1:14" s="8" customFormat="1" x14ac:dyDescent="0.2">
      <c r="A22" s="7" t="s">
        <v>410</v>
      </c>
      <c r="C22" s="7" t="s">
        <v>410</v>
      </c>
      <c r="I22" s="22">
        <f>AVERAGE(I23:I26)</f>
        <v>1.5</v>
      </c>
      <c r="N22" s="22">
        <f>AVERAGE(N23:N26)</f>
        <v>2.5</v>
      </c>
    </row>
    <row r="23" spans="1:14" x14ac:dyDescent="0.2">
      <c r="A23" s="6" t="s">
        <v>411</v>
      </c>
      <c r="C23" s="6" t="s">
        <v>411</v>
      </c>
      <c r="D23" s="6" t="s">
        <v>412</v>
      </c>
      <c r="E23" s="6" t="s">
        <v>51</v>
      </c>
      <c r="F23" s="6" t="s">
        <v>66</v>
      </c>
      <c r="G23" s="6" t="s">
        <v>369</v>
      </c>
      <c r="H23" s="6" t="s">
        <v>370</v>
      </c>
      <c r="I23" s="21">
        <v>2</v>
      </c>
      <c r="J23" s="6" t="s">
        <v>55</v>
      </c>
      <c r="L23" s="6" t="s">
        <v>413</v>
      </c>
      <c r="N23" s="21">
        <v>4</v>
      </c>
    </row>
    <row r="24" spans="1:14" x14ac:dyDescent="0.2">
      <c r="A24" s="6" t="s">
        <v>414</v>
      </c>
      <c r="C24" s="6" t="s">
        <v>414</v>
      </c>
      <c r="D24" s="6" t="s">
        <v>415</v>
      </c>
      <c r="E24" s="6" t="s">
        <v>51</v>
      </c>
      <c r="F24" s="6" t="s">
        <v>66</v>
      </c>
      <c r="G24" s="6" t="s">
        <v>369</v>
      </c>
      <c r="H24" s="6" t="s">
        <v>370</v>
      </c>
      <c r="I24" s="21">
        <v>1</v>
      </c>
      <c r="J24" s="6" t="s">
        <v>55</v>
      </c>
      <c r="L24" s="6" t="s">
        <v>416</v>
      </c>
      <c r="N24" s="21">
        <v>3</v>
      </c>
    </row>
    <row r="25" spans="1:14" x14ac:dyDescent="0.2">
      <c r="A25" s="6" t="s">
        <v>417</v>
      </c>
      <c r="C25" s="6" t="s">
        <v>417</v>
      </c>
      <c r="D25" s="6" t="s">
        <v>418</v>
      </c>
      <c r="E25" s="6" t="s">
        <v>51</v>
      </c>
      <c r="F25" s="6" t="s">
        <v>66</v>
      </c>
      <c r="G25" s="6" t="s">
        <v>369</v>
      </c>
      <c r="H25" s="6" t="s">
        <v>370</v>
      </c>
      <c r="I25" s="21">
        <v>1</v>
      </c>
      <c r="J25" s="6" t="s">
        <v>55</v>
      </c>
      <c r="L25" s="6" t="s">
        <v>419</v>
      </c>
      <c r="N25" s="21">
        <v>1</v>
      </c>
    </row>
    <row r="26" spans="1:14" x14ac:dyDescent="0.2">
      <c r="A26" s="6" t="s">
        <v>420</v>
      </c>
      <c r="C26" s="6" t="s">
        <v>420</v>
      </c>
      <c r="D26" s="6" t="s">
        <v>421</v>
      </c>
      <c r="E26" s="6" t="s">
        <v>51</v>
      </c>
      <c r="F26" s="6" t="s">
        <v>66</v>
      </c>
      <c r="G26" s="6" t="s">
        <v>369</v>
      </c>
      <c r="H26" s="6" t="s">
        <v>370</v>
      </c>
      <c r="I26" s="21">
        <v>2</v>
      </c>
      <c r="J26" s="6" t="s">
        <v>55</v>
      </c>
      <c r="L26" s="6" t="s">
        <v>422</v>
      </c>
      <c r="N26" s="21">
        <v>2</v>
      </c>
    </row>
    <row r="27" spans="1:14" s="8" customFormat="1" x14ac:dyDescent="0.2">
      <c r="A27" s="7" t="s">
        <v>423</v>
      </c>
      <c r="C27" s="7" t="s">
        <v>423</v>
      </c>
      <c r="I27" s="22">
        <f>AVERAGE(I28:I29)</f>
        <v>1</v>
      </c>
      <c r="N27" s="22">
        <f>AVERAGE(N28:N29)</f>
        <v>2</v>
      </c>
    </row>
    <row r="28" spans="1:14" x14ac:dyDescent="0.2">
      <c r="A28" s="6" t="s">
        <v>424</v>
      </c>
      <c r="C28" s="6" t="s">
        <v>424</v>
      </c>
      <c r="D28" s="26" t="s">
        <v>425</v>
      </c>
      <c r="E28" s="6" t="s">
        <v>51</v>
      </c>
      <c r="F28" s="6" t="s">
        <v>66</v>
      </c>
      <c r="G28" s="6" t="s">
        <v>369</v>
      </c>
      <c r="H28" s="6" t="s">
        <v>370</v>
      </c>
      <c r="I28" s="21">
        <v>1</v>
      </c>
      <c r="J28" s="6" t="s">
        <v>55</v>
      </c>
      <c r="L28" s="6" t="s">
        <v>416</v>
      </c>
      <c r="N28" s="21">
        <v>2</v>
      </c>
    </row>
    <row r="29" spans="1:14" x14ac:dyDescent="0.2">
      <c r="A29" s="6" t="s">
        <v>426</v>
      </c>
      <c r="C29" s="6" t="s">
        <v>426</v>
      </c>
      <c r="D29" s="6" t="s">
        <v>427</v>
      </c>
      <c r="E29" s="6" t="s">
        <v>51</v>
      </c>
      <c r="F29" s="6" t="s">
        <v>66</v>
      </c>
      <c r="G29" s="6" t="s">
        <v>369</v>
      </c>
      <c r="H29" s="6" t="s">
        <v>370</v>
      </c>
      <c r="I29" s="21">
        <v>1</v>
      </c>
      <c r="J29" s="6" t="s">
        <v>55</v>
      </c>
      <c r="L29" s="6" t="s">
        <v>428</v>
      </c>
      <c r="N29" s="21">
        <v>2</v>
      </c>
    </row>
    <row r="30" spans="1:14" s="8" customFormat="1" x14ac:dyDescent="0.2">
      <c r="A30" s="7" t="s">
        <v>429</v>
      </c>
      <c r="C30" s="7" t="s">
        <v>429</v>
      </c>
      <c r="I30" s="22">
        <f>AVERAGE(I31:I33)</f>
        <v>4</v>
      </c>
      <c r="N30" s="36">
        <f>AVERAGE(N31:N33)</f>
        <v>3.6666666666666665</v>
      </c>
    </row>
    <row r="31" spans="1:14" x14ac:dyDescent="0.2">
      <c r="A31" s="6" t="s">
        <v>430</v>
      </c>
      <c r="C31" s="6" t="s">
        <v>430</v>
      </c>
      <c r="E31" s="6" t="s">
        <v>51</v>
      </c>
      <c r="F31" s="6" t="s">
        <v>52</v>
      </c>
      <c r="G31" s="6" t="s">
        <v>369</v>
      </c>
      <c r="H31" s="6" t="s">
        <v>370</v>
      </c>
      <c r="I31" s="21">
        <v>4</v>
      </c>
      <c r="J31" s="6" t="s">
        <v>55</v>
      </c>
      <c r="L31" s="6" t="s">
        <v>431</v>
      </c>
      <c r="N31" s="21">
        <v>4</v>
      </c>
    </row>
    <row r="32" spans="1:14" x14ac:dyDescent="0.2">
      <c r="A32" s="6" t="s">
        <v>432</v>
      </c>
      <c r="C32" s="6" t="s">
        <v>432</v>
      </c>
      <c r="D32" s="30"/>
      <c r="E32" s="6" t="s">
        <v>51</v>
      </c>
      <c r="F32" s="6" t="s">
        <v>52</v>
      </c>
      <c r="G32" s="6" t="s">
        <v>369</v>
      </c>
      <c r="H32" s="6" t="s">
        <v>370</v>
      </c>
      <c r="I32" s="21">
        <v>4</v>
      </c>
      <c r="J32" s="6" t="s">
        <v>55</v>
      </c>
      <c r="L32" s="6" t="s">
        <v>433</v>
      </c>
      <c r="N32" s="21">
        <v>3</v>
      </c>
    </row>
    <row r="33" spans="1:14" x14ac:dyDescent="0.2">
      <c r="A33" s="6" t="s">
        <v>434</v>
      </c>
      <c r="C33" s="6" t="s">
        <v>434</v>
      </c>
      <c r="D33" s="6" t="s">
        <v>435</v>
      </c>
      <c r="E33" s="6" t="s">
        <v>51</v>
      </c>
      <c r="F33" s="6" t="s">
        <v>52</v>
      </c>
      <c r="G33" s="6" t="s">
        <v>369</v>
      </c>
      <c r="H33" s="6" t="s">
        <v>370</v>
      </c>
      <c r="I33" s="21">
        <v>4</v>
      </c>
      <c r="J33" s="6" t="s">
        <v>55</v>
      </c>
      <c r="L33" s="6" t="s">
        <v>436</v>
      </c>
      <c r="N33" s="21">
        <v>4</v>
      </c>
    </row>
    <row r="34" spans="1:14" s="8" customFormat="1" x14ac:dyDescent="0.2">
      <c r="A34" s="7" t="s">
        <v>437</v>
      </c>
      <c r="C34" s="7" t="s">
        <v>437</v>
      </c>
      <c r="I34" s="22">
        <f>AVERAGE(I35:I38)</f>
        <v>1.75</v>
      </c>
      <c r="N34" s="22">
        <f>AVERAGE(N35:N38)</f>
        <v>2.25</v>
      </c>
    </row>
    <row r="35" spans="1:14" x14ac:dyDescent="0.2">
      <c r="A35" s="6" t="s">
        <v>438</v>
      </c>
      <c r="C35" s="6" t="s">
        <v>438</v>
      </c>
      <c r="E35" s="6" t="s">
        <v>51</v>
      </c>
      <c r="F35" s="6" t="s">
        <v>66</v>
      </c>
      <c r="G35" s="6" t="s">
        <v>369</v>
      </c>
      <c r="H35" s="6" t="s">
        <v>370</v>
      </c>
      <c r="I35" s="21">
        <v>2</v>
      </c>
      <c r="J35" s="6" t="s">
        <v>55</v>
      </c>
      <c r="L35" s="6" t="s">
        <v>439</v>
      </c>
      <c r="N35" s="21">
        <v>3</v>
      </c>
    </row>
    <row r="36" spans="1:14" x14ac:dyDescent="0.2">
      <c r="A36" s="6" t="s">
        <v>440</v>
      </c>
      <c r="C36" s="6" t="s">
        <v>440</v>
      </c>
      <c r="D36" s="26" t="s">
        <v>441</v>
      </c>
      <c r="E36" s="6" t="s">
        <v>51</v>
      </c>
      <c r="F36" s="6" t="s">
        <v>66</v>
      </c>
      <c r="G36" s="6" t="s">
        <v>369</v>
      </c>
      <c r="H36" s="6" t="s">
        <v>370</v>
      </c>
      <c r="I36" s="21">
        <v>2</v>
      </c>
      <c r="J36" s="6" t="s">
        <v>55</v>
      </c>
      <c r="L36" s="6" t="s">
        <v>442</v>
      </c>
      <c r="N36" s="21">
        <v>2</v>
      </c>
    </row>
    <row r="37" spans="1:14" x14ac:dyDescent="0.2">
      <c r="A37" s="6" t="s">
        <v>443</v>
      </c>
      <c r="C37" s="6" t="s">
        <v>443</v>
      </c>
      <c r="D37" s="6" t="s">
        <v>444</v>
      </c>
      <c r="E37" s="6" t="s">
        <v>51</v>
      </c>
      <c r="F37" s="6" t="s">
        <v>52</v>
      </c>
      <c r="G37" s="6" t="s">
        <v>369</v>
      </c>
      <c r="H37" s="6" t="s">
        <v>370</v>
      </c>
      <c r="I37" s="21">
        <v>1</v>
      </c>
      <c r="J37" s="6" t="s">
        <v>55</v>
      </c>
      <c r="L37" s="6" t="s">
        <v>445</v>
      </c>
      <c r="N37" s="21">
        <v>2</v>
      </c>
    </row>
    <row r="38" spans="1:14" x14ac:dyDescent="0.2">
      <c r="A38" s="6" t="s">
        <v>446</v>
      </c>
      <c r="C38" s="6" t="s">
        <v>446</v>
      </c>
      <c r="D38" s="6" t="s">
        <v>447</v>
      </c>
      <c r="E38" s="6" t="s">
        <v>51</v>
      </c>
      <c r="F38" s="6" t="s">
        <v>52</v>
      </c>
      <c r="G38" s="6" t="s">
        <v>369</v>
      </c>
      <c r="H38" s="6" t="s">
        <v>370</v>
      </c>
      <c r="I38" s="21">
        <v>2</v>
      </c>
      <c r="J38" s="6" t="s">
        <v>55</v>
      </c>
      <c r="L38" s="6" t="s">
        <v>448</v>
      </c>
      <c r="N38" s="21">
        <v>2</v>
      </c>
    </row>
    <row r="39" spans="1:14" s="8" customFormat="1" x14ac:dyDescent="0.2">
      <c r="A39" s="7" t="s">
        <v>449</v>
      </c>
      <c r="C39" s="7" t="s">
        <v>449</v>
      </c>
      <c r="I39" s="36">
        <f>AVERAGE(I40:I42)</f>
        <v>2</v>
      </c>
      <c r="N39" s="36">
        <f>AVERAGE(N40:N42)</f>
        <v>2.6666666666666665</v>
      </c>
    </row>
    <row r="40" spans="1:14" x14ac:dyDescent="0.2">
      <c r="A40" s="6" t="s">
        <v>450</v>
      </c>
      <c r="C40" s="6" t="s">
        <v>450</v>
      </c>
      <c r="D40" s="6" t="s">
        <v>451</v>
      </c>
      <c r="E40" s="6" t="s">
        <v>51</v>
      </c>
      <c r="F40" s="6" t="s">
        <v>66</v>
      </c>
      <c r="G40" s="6" t="s">
        <v>369</v>
      </c>
      <c r="H40" s="6" t="s">
        <v>370</v>
      </c>
      <c r="I40" s="21">
        <v>2</v>
      </c>
      <c r="J40" s="6" t="s">
        <v>55</v>
      </c>
      <c r="L40" s="6" t="s">
        <v>452</v>
      </c>
      <c r="N40" s="21">
        <v>4</v>
      </c>
    </row>
    <row r="41" spans="1:14" x14ac:dyDescent="0.2">
      <c r="A41" s="6" t="s">
        <v>453</v>
      </c>
      <c r="C41" s="6" t="s">
        <v>453</v>
      </c>
      <c r="D41" s="6" t="s">
        <v>454</v>
      </c>
      <c r="E41" s="6" t="s">
        <v>51</v>
      </c>
      <c r="F41" s="6" t="s">
        <v>66</v>
      </c>
      <c r="G41" s="6" t="s">
        <v>369</v>
      </c>
      <c r="H41" s="6" t="s">
        <v>370</v>
      </c>
      <c r="I41" s="21">
        <v>3</v>
      </c>
      <c r="J41" s="6" t="s">
        <v>55</v>
      </c>
      <c r="L41" s="6" t="s">
        <v>455</v>
      </c>
      <c r="N41" s="21">
        <v>2</v>
      </c>
    </row>
    <row r="42" spans="1:14" x14ac:dyDescent="0.2">
      <c r="A42" s="6" t="s">
        <v>456</v>
      </c>
      <c r="C42" s="6" t="s">
        <v>456</v>
      </c>
      <c r="D42" s="6" t="s">
        <v>457</v>
      </c>
      <c r="E42" s="6" t="s">
        <v>51</v>
      </c>
      <c r="F42" s="6" t="s">
        <v>52</v>
      </c>
      <c r="G42" s="6" t="s">
        <v>369</v>
      </c>
      <c r="H42" s="6" t="s">
        <v>370</v>
      </c>
      <c r="I42" s="21">
        <v>1</v>
      </c>
      <c r="J42" s="6" t="s">
        <v>55</v>
      </c>
      <c r="L42" s="6" t="s">
        <v>458</v>
      </c>
      <c r="N42" s="21">
        <v>2</v>
      </c>
    </row>
    <row r="43" spans="1:14" s="8" customFormat="1" x14ac:dyDescent="0.2">
      <c r="A43" s="7" t="s">
        <v>459</v>
      </c>
      <c r="C43" s="7" t="s">
        <v>459</v>
      </c>
      <c r="I43" s="22">
        <f>AVERAGE(I44:I46)</f>
        <v>3</v>
      </c>
      <c r="N43" s="36">
        <f>AVERAGE(N44:N46)</f>
        <v>2.3333333333333335</v>
      </c>
    </row>
    <row r="44" spans="1:14" x14ac:dyDescent="0.2">
      <c r="A44" s="6" t="s">
        <v>460</v>
      </c>
      <c r="C44" s="6" t="s">
        <v>460</v>
      </c>
      <c r="E44" s="6" t="s">
        <v>51</v>
      </c>
      <c r="F44" s="6" t="s">
        <v>52</v>
      </c>
      <c r="G44" s="6" t="s">
        <v>369</v>
      </c>
      <c r="H44" s="6" t="s">
        <v>370</v>
      </c>
      <c r="I44" s="21">
        <v>4</v>
      </c>
      <c r="J44" s="6" t="s">
        <v>55</v>
      </c>
      <c r="L44" s="6" t="s">
        <v>409</v>
      </c>
      <c r="N44" s="21">
        <v>2</v>
      </c>
    </row>
    <row r="45" spans="1:14" x14ac:dyDescent="0.2">
      <c r="A45" s="6" t="s">
        <v>461</v>
      </c>
      <c r="C45" s="6" t="s">
        <v>461</v>
      </c>
      <c r="E45" s="6" t="s">
        <v>51</v>
      </c>
      <c r="F45" s="6" t="s">
        <v>52</v>
      </c>
      <c r="G45" s="6" t="s">
        <v>369</v>
      </c>
      <c r="H45" s="6" t="s">
        <v>370</v>
      </c>
      <c r="I45" s="21">
        <v>3</v>
      </c>
      <c r="J45" s="6" t="s">
        <v>55</v>
      </c>
      <c r="L45" s="6" t="s">
        <v>462</v>
      </c>
      <c r="N45" s="21">
        <v>2</v>
      </c>
    </row>
    <row r="46" spans="1:14" x14ac:dyDescent="0.2">
      <c r="A46" s="6" t="s">
        <v>463</v>
      </c>
      <c r="C46" s="6" t="s">
        <v>464</v>
      </c>
      <c r="D46" s="6" t="s">
        <v>465</v>
      </c>
      <c r="E46" s="6" t="s">
        <v>51</v>
      </c>
      <c r="F46" s="6" t="s">
        <v>52</v>
      </c>
      <c r="G46" s="6" t="s">
        <v>369</v>
      </c>
      <c r="H46" s="6" t="s">
        <v>370</v>
      </c>
      <c r="I46" s="21">
        <v>2</v>
      </c>
      <c r="J46" s="6" t="s">
        <v>55</v>
      </c>
      <c r="L46" s="6" t="s">
        <v>466</v>
      </c>
      <c r="N46" s="21">
        <v>3</v>
      </c>
    </row>
    <row r="47" spans="1:14" s="8" customFormat="1" x14ac:dyDescent="0.2">
      <c r="A47" s="7" t="s">
        <v>467</v>
      </c>
      <c r="C47" s="7" t="s">
        <v>467</v>
      </c>
      <c r="I47" s="36">
        <f>AVERAGE(I48:I50)</f>
        <v>3.6666666666666665</v>
      </c>
      <c r="N47" s="36">
        <f>AVERAGE(N48:N50)</f>
        <v>1.6666666666666667</v>
      </c>
    </row>
    <row r="48" spans="1:14" x14ac:dyDescent="0.2">
      <c r="A48" s="6" t="s">
        <v>468</v>
      </c>
      <c r="C48" s="6" t="s">
        <v>468</v>
      </c>
      <c r="E48" s="6" t="s">
        <v>51</v>
      </c>
      <c r="F48" s="6" t="s">
        <v>52</v>
      </c>
      <c r="G48" s="6" t="s">
        <v>369</v>
      </c>
      <c r="H48" s="6" t="s">
        <v>370</v>
      </c>
      <c r="I48" s="21">
        <v>4</v>
      </c>
      <c r="J48" s="6" t="s">
        <v>55</v>
      </c>
      <c r="L48" s="6" t="s">
        <v>469</v>
      </c>
      <c r="N48" s="21">
        <v>2</v>
      </c>
    </row>
    <row r="49" spans="1:14" x14ac:dyDescent="0.2">
      <c r="A49" s="6" t="s">
        <v>470</v>
      </c>
      <c r="C49" s="6" t="s">
        <v>470</v>
      </c>
      <c r="E49" s="6" t="s">
        <v>51</v>
      </c>
      <c r="F49" s="6" t="s">
        <v>52</v>
      </c>
      <c r="G49" s="6" t="s">
        <v>369</v>
      </c>
      <c r="H49" s="6" t="s">
        <v>370</v>
      </c>
      <c r="I49" s="21">
        <v>4</v>
      </c>
      <c r="J49" s="6" t="s">
        <v>55</v>
      </c>
      <c r="L49" s="6" t="s">
        <v>469</v>
      </c>
      <c r="N49" s="21">
        <v>2</v>
      </c>
    </row>
    <row r="50" spans="1:14" x14ac:dyDescent="0.2">
      <c r="A50" s="12" t="s">
        <v>471</v>
      </c>
      <c r="C50" s="12" t="s">
        <v>471</v>
      </c>
      <c r="D50" s="6" t="s">
        <v>472</v>
      </c>
      <c r="E50" s="6" t="s">
        <v>51</v>
      </c>
      <c r="F50" s="6" t="s">
        <v>52</v>
      </c>
      <c r="G50" s="6" t="s">
        <v>369</v>
      </c>
      <c r="H50" s="6" t="s">
        <v>370</v>
      </c>
      <c r="I50" s="21">
        <v>3</v>
      </c>
      <c r="J50" s="6" t="s">
        <v>55</v>
      </c>
      <c r="L50" s="6" t="s">
        <v>473</v>
      </c>
      <c r="N50" s="21">
        <v>1</v>
      </c>
    </row>
    <row r="51" spans="1:14" s="8" customFormat="1" x14ac:dyDescent="0.2">
      <c r="A51" s="7" t="s">
        <v>474</v>
      </c>
      <c r="C51" s="7" t="s">
        <v>474</v>
      </c>
      <c r="I51" s="36">
        <f>AVERAGE(I52:I54)</f>
        <v>3.6666666666666665</v>
      </c>
      <c r="N51" s="36">
        <f>AVERAGE(N52:N54)</f>
        <v>1.6666666666666667</v>
      </c>
    </row>
    <row r="52" spans="1:14" x14ac:dyDescent="0.2">
      <c r="A52" s="6" t="s">
        <v>475</v>
      </c>
      <c r="C52" s="6" t="s">
        <v>475</v>
      </c>
      <c r="E52" s="6" t="s">
        <v>51</v>
      </c>
      <c r="F52" s="6" t="s">
        <v>52</v>
      </c>
      <c r="G52" s="6" t="s">
        <v>369</v>
      </c>
      <c r="H52" s="6" t="s">
        <v>370</v>
      </c>
      <c r="I52" s="21">
        <v>4</v>
      </c>
      <c r="J52" s="6" t="s">
        <v>55</v>
      </c>
      <c r="L52" s="6" t="s">
        <v>469</v>
      </c>
      <c r="N52" s="21">
        <v>2</v>
      </c>
    </row>
    <row r="53" spans="1:14" x14ac:dyDescent="0.2">
      <c r="A53" s="6" t="s">
        <v>476</v>
      </c>
      <c r="C53" s="6" t="s">
        <v>476</v>
      </c>
      <c r="E53" s="6" t="s">
        <v>51</v>
      </c>
      <c r="F53" s="6" t="s">
        <v>52</v>
      </c>
      <c r="G53" s="6" t="s">
        <v>369</v>
      </c>
      <c r="H53" s="6" t="s">
        <v>370</v>
      </c>
      <c r="I53" s="21">
        <v>4</v>
      </c>
      <c r="J53" s="6" t="s">
        <v>55</v>
      </c>
      <c r="L53" s="6" t="s">
        <v>469</v>
      </c>
      <c r="N53" s="21">
        <v>2</v>
      </c>
    </row>
    <row r="54" spans="1:14" x14ac:dyDescent="0.2">
      <c r="A54" s="6" t="s">
        <v>477</v>
      </c>
      <c r="C54" s="6" t="s">
        <v>477</v>
      </c>
      <c r="D54" s="6" t="s">
        <v>478</v>
      </c>
      <c r="E54" s="6" t="s">
        <v>51</v>
      </c>
      <c r="F54" s="6" t="s">
        <v>52</v>
      </c>
      <c r="G54" s="6" t="s">
        <v>369</v>
      </c>
      <c r="H54" s="6" t="s">
        <v>370</v>
      </c>
      <c r="I54" s="21">
        <v>3</v>
      </c>
      <c r="J54" s="6" t="s">
        <v>55</v>
      </c>
      <c r="L54" s="6" t="s">
        <v>473</v>
      </c>
      <c r="N54" s="21">
        <v>1</v>
      </c>
    </row>
    <row r="55" spans="1:14" s="8" customFormat="1" x14ac:dyDescent="0.2">
      <c r="A55" s="32" t="s">
        <v>479</v>
      </c>
      <c r="C55" s="7" t="s">
        <v>480</v>
      </c>
      <c r="I55" s="36">
        <f>AVERAGE(I56:I58)</f>
        <v>2.6666666666666665</v>
      </c>
      <c r="N55" s="36">
        <f>AVERAGE(N56:N58)</f>
        <v>3.3333333333333335</v>
      </c>
    </row>
    <row r="56" spans="1:14" x14ac:dyDescent="0.2">
      <c r="A56" s="6" t="s">
        <v>481</v>
      </c>
      <c r="C56" s="6" t="s">
        <v>481</v>
      </c>
      <c r="E56" s="6" t="s">
        <v>51</v>
      </c>
      <c r="F56" s="6" t="s">
        <v>52</v>
      </c>
      <c r="G56" s="6" t="s">
        <v>369</v>
      </c>
      <c r="H56" s="6" t="s">
        <v>370</v>
      </c>
      <c r="I56" s="21">
        <v>1</v>
      </c>
      <c r="J56" s="6" t="s">
        <v>55</v>
      </c>
      <c r="L56" s="6" t="s">
        <v>482</v>
      </c>
      <c r="N56" s="21">
        <v>4</v>
      </c>
    </row>
    <row r="57" spans="1:14" x14ac:dyDescent="0.2">
      <c r="A57" s="6" t="s">
        <v>483</v>
      </c>
      <c r="C57" s="6" t="s">
        <v>483</v>
      </c>
      <c r="E57" s="6" t="s">
        <v>51</v>
      </c>
      <c r="F57" s="6" t="s">
        <v>52</v>
      </c>
      <c r="G57" s="6" t="s">
        <v>369</v>
      </c>
      <c r="H57" s="6" t="s">
        <v>370</v>
      </c>
      <c r="I57" s="21">
        <v>4</v>
      </c>
      <c r="J57" s="6" t="s">
        <v>55</v>
      </c>
      <c r="L57" s="6" t="s">
        <v>484</v>
      </c>
      <c r="N57" s="21">
        <v>4</v>
      </c>
    </row>
    <row r="58" spans="1:14" x14ac:dyDescent="0.2">
      <c r="A58" s="6" t="s">
        <v>485</v>
      </c>
      <c r="C58" s="6" t="s">
        <v>485</v>
      </c>
      <c r="F58" s="6" t="s">
        <v>52</v>
      </c>
      <c r="H58" s="6" t="s">
        <v>370</v>
      </c>
      <c r="I58" s="21">
        <v>3</v>
      </c>
      <c r="J58" s="6" t="s">
        <v>55</v>
      </c>
      <c r="L58" s="6" t="s">
        <v>486</v>
      </c>
      <c r="N58" s="21">
        <v>2</v>
      </c>
    </row>
    <row r="59" spans="1:14" s="8" customFormat="1" x14ac:dyDescent="0.2">
      <c r="A59" s="32" t="s">
        <v>487</v>
      </c>
      <c r="C59" s="7" t="s">
        <v>488</v>
      </c>
      <c r="I59" s="22">
        <f>AVERAGE(I60:I62)</f>
        <v>3</v>
      </c>
      <c r="N59" s="36">
        <f>AVERAGE(N60:N62)</f>
        <v>1.6666666666666667</v>
      </c>
    </row>
    <row r="60" spans="1:14" x14ac:dyDescent="0.2">
      <c r="A60" s="6" t="s">
        <v>489</v>
      </c>
      <c r="C60" s="6" t="s">
        <v>489</v>
      </c>
      <c r="E60" s="6" t="s">
        <v>51</v>
      </c>
      <c r="F60" s="6" t="s">
        <v>52</v>
      </c>
      <c r="G60" s="6" t="s">
        <v>369</v>
      </c>
      <c r="H60" s="6" t="s">
        <v>370</v>
      </c>
      <c r="I60" s="21">
        <v>2</v>
      </c>
      <c r="J60" s="6" t="s">
        <v>55</v>
      </c>
      <c r="L60" s="6" t="s">
        <v>482</v>
      </c>
      <c r="N60" s="21">
        <v>2</v>
      </c>
    </row>
    <row r="61" spans="1:14" x14ac:dyDescent="0.2">
      <c r="A61" s="6" t="s">
        <v>490</v>
      </c>
      <c r="C61" s="6" t="s">
        <v>490</v>
      </c>
      <c r="E61" s="6" t="s">
        <v>51</v>
      </c>
      <c r="F61" s="6" t="s">
        <v>52</v>
      </c>
      <c r="G61" s="6" t="s">
        <v>369</v>
      </c>
      <c r="H61" s="6" t="s">
        <v>370</v>
      </c>
      <c r="I61" s="21">
        <v>4</v>
      </c>
      <c r="J61" s="6" t="s">
        <v>55</v>
      </c>
      <c r="L61" s="6" t="s">
        <v>491</v>
      </c>
      <c r="N61" s="21">
        <v>2</v>
      </c>
    </row>
    <row r="62" spans="1:14" x14ac:dyDescent="0.2">
      <c r="A62" s="6" t="s">
        <v>492</v>
      </c>
      <c r="C62" s="6" t="s">
        <v>492</v>
      </c>
      <c r="E62" s="6" t="s">
        <v>51</v>
      </c>
      <c r="F62" s="6" t="s">
        <v>52</v>
      </c>
      <c r="G62" s="6" t="s">
        <v>369</v>
      </c>
      <c r="H62" s="6" t="s">
        <v>370</v>
      </c>
      <c r="I62" s="21">
        <v>3</v>
      </c>
      <c r="J62" s="6" t="s">
        <v>55</v>
      </c>
      <c r="L62" s="6" t="s">
        <v>484</v>
      </c>
      <c r="N62" s="21">
        <v>1</v>
      </c>
    </row>
    <row r="63" spans="1:14" s="8" customFormat="1" x14ac:dyDescent="0.2">
      <c r="A63" s="7" t="s">
        <v>493</v>
      </c>
      <c r="C63" s="7" t="s">
        <v>494</v>
      </c>
      <c r="I63" s="36">
        <f>AVERAGE(I64:I66)</f>
        <v>2.6666666666666665</v>
      </c>
      <c r="N63" s="22">
        <f>AVERAGE(N64:N66)</f>
        <v>4</v>
      </c>
    </row>
    <row r="64" spans="1:14" x14ac:dyDescent="0.2">
      <c r="A64" s="6" t="s">
        <v>495</v>
      </c>
      <c r="C64" s="6" t="s">
        <v>495</v>
      </c>
      <c r="D64" s="6" t="s">
        <v>496</v>
      </c>
      <c r="E64" s="6" t="s">
        <v>51</v>
      </c>
      <c r="F64" s="6" t="s">
        <v>52</v>
      </c>
      <c r="G64" s="6" t="s">
        <v>369</v>
      </c>
      <c r="H64" s="6" t="s">
        <v>370</v>
      </c>
      <c r="I64" s="21">
        <v>2</v>
      </c>
      <c r="J64" s="6" t="s">
        <v>55</v>
      </c>
      <c r="L64" s="6" t="s">
        <v>431</v>
      </c>
      <c r="N64" s="21">
        <v>4</v>
      </c>
    </row>
    <row r="65" spans="1:14" x14ac:dyDescent="0.2">
      <c r="A65" s="31" t="s">
        <v>497</v>
      </c>
      <c r="C65" s="31" t="s">
        <v>497</v>
      </c>
      <c r="E65" s="6" t="s">
        <v>51</v>
      </c>
      <c r="F65" s="6" t="s">
        <v>52</v>
      </c>
      <c r="G65" s="6" t="s">
        <v>369</v>
      </c>
      <c r="H65" s="6" t="s">
        <v>370</v>
      </c>
      <c r="I65" s="21">
        <v>2</v>
      </c>
      <c r="J65" s="6" t="s">
        <v>55</v>
      </c>
      <c r="L65" s="6" t="s">
        <v>469</v>
      </c>
      <c r="N65" s="21">
        <v>4</v>
      </c>
    </row>
    <row r="66" spans="1:14" x14ac:dyDescent="0.2">
      <c r="A66" s="31"/>
      <c r="B66" s="31" t="s">
        <v>498</v>
      </c>
      <c r="C66" s="31" t="s">
        <v>498</v>
      </c>
      <c r="E66" s="6" t="s">
        <v>51</v>
      </c>
      <c r="F66" s="6" t="s">
        <v>52</v>
      </c>
      <c r="G66" s="6" t="s">
        <v>369</v>
      </c>
      <c r="H66" s="6" t="s">
        <v>499</v>
      </c>
      <c r="I66" s="21">
        <v>4</v>
      </c>
      <c r="J66" s="6" t="s">
        <v>55</v>
      </c>
      <c r="L66" s="6" t="s">
        <v>500</v>
      </c>
      <c r="N66" s="21">
        <v>4</v>
      </c>
    </row>
    <row r="67" spans="1:14" s="8" customFormat="1" x14ac:dyDescent="0.2">
      <c r="A67" s="7" t="s">
        <v>928</v>
      </c>
      <c r="C67" s="7" t="s">
        <v>928</v>
      </c>
      <c r="I67" s="36">
        <f>AVERAGE(I68:I71)</f>
        <v>1.75</v>
      </c>
      <c r="N67" s="36">
        <f>AVERAGE(N68:N71)</f>
        <v>3.25</v>
      </c>
    </row>
    <row r="68" spans="1:14" x14ac:dyDescent="0.2">
      <c r="A68" s="6" t="s">
        <v>501</v>
      </c>
      <c r="C68" s="6" t="s">
        <v>502</v>
      </c>
      <c r="D68" s="6" t="s">
        <v>503</v>
      </c>
      <c r="E68" s="6" t="s">
        <v>51</v>
      </c>
      <c r="F68" s="6" t="s">
        <v>52</v>
      </c>
      <c r="G68" s="6" t="s">
        <v>369</v>
      </c>
      <c r="H68" s="6" t="s">
        <v>499</v>
      </c>
      <c r="I68" s="21">
        <v>2</v>
      </c>
      <c r="J68" s="6" t="s">
        <v>55</v>
      </c>
      <c r="L68" s="6" t="s">
        <v>504</v>
      </c>
      <c r="N68" s="21">
        <v>4</v>
      </c>
    </row>
    <row r="69" spans="1:14" x14ac:dyDescent="0.2">
      <c r="A69" s="6" t="s">
        <v>505</v>
      </c>
      <c r="C69" s="6" t="s">
        <v>506</v>
      </c>
      <c r="E69" s="6" t="s">
        <v>51</v>
      </c>
      <c r="F69" s="6" t="s">
        <v>52</v>
      </c>
      <c r="G69" s="6" t="s">
        <v>369</v>
      </c>
      <c r="H69" s="6" t="s">
        <v>370</v>
      </c>
      <c r="I69" s="21">
        <v>2</v>
      </c>
      <c r="J69" s="6" t="s">
        <v>55</v>
      </c>
      <c r="L69" s="6" t="s">
        <v>507</v>
      </c>
      <c r="N69" s="21">
        <v>4</v>
      </c>
    </row>
    <row r="70" spans="1:14" x14ac:dyDescent="0.2">
      <c r="A70" s="6" t="s">
        <v>508</v>
      </c>
      <c r="C70" s="6" t="s">
        <v>509</v>
      </c>
      <c r="E70" s="6" t="s">
        <v>51</v>
      </c>
      <c r="F70" s="6" t="s">
        <v>52</v>
      </c>
      <c r="G70" s="6" t="s">
        <v>369</v>
      </c>
      <c r="H70" s="6" t="s">
        <v>370</v>
      </c>
      <c r="I70" s="21">
        <v>1</v>
      </c>
      <c r="J70" s="6" t="s">
        <v>55</v>
      </c>
      <c r="L70" s="6" t="s">
        <v>510</v>
      </c>
      <c r="N70" s="21">
        <v>2</v>
      </c>
    </row>
    <row r="71" spans="1:14" x14ac:dyDescent="0.2">
      <c r="A71" s="6" t="s">
        <v>553</v>
      </c>
      <c r="C71" s="6" t="s">
        <v>553</v>
      </c>
      <c r="I71" s="21">
        <v>2</v>
      </c>
      <c r="N71" s="21">
        <v>3</v>
      </c>
    </row>
    <row r="72" spans="1:14" s="8" customFormat="1" x14ac:dyDescent="0.2">
      <c r="A72" s="7" t="s">
        <v>511</v>
      </c>
      <c r="C72" s="7" t="s">
        <v>512</v>
      </c>
      <c r="I72" s="22">
        <f>AVERAGE(I73:I75)</f>
        <v>1</v>
      </c>
      <c r="N72" s="36">
        <f>AVERAGE(N73:N75)</f>
        <v>2.6666666666666665</v>
      </c>
    </row>
    <row r="73" spans="1:14" x14ac:dyDescent="0.2">
      <c r="A73" s="6" t="s">
        <v>513</v>
      </c>
      <c r="C73" s="6" t="s">
        <v>513</v>
      </c>
      <c r="E73" s="6" t="s">
        <v>51</v>
      </c>
      <c r="F73" s="6" t="s">
        <v>52</v>
      </c>
      <c r="G73" s="6" t="s">
        <v>369</v>
      </c>
      <c r="H73" s="6" t="s">
        <v>499</v>
      </c>
      <c r="I73" s="21">
        <v>1</v>
      </c>
      <c r="J73" s="6" t="s">
        <v>514</v>
      </c>
      <c r="L73" s="6" t="s">
        <v>515</v>
      </c>
      <c r="N73" s="21">
        <v>1</v>
      </c>
    </row>
    <row r="74" spans="1:14" x14ac:dyDescent="0.2">
      <c r="A74" s="6" t="s">
        <v>516</v>
      </c>
      <c r="C74" s="6" t="s">
        <v>516</v>
      </c>
      <c r="D74" s="6" t="s">
        <v>517</v>
      </c>
      <c r="E74" s="6" t="s">
        <v>51</v>
      </c>
      <c r="F74" s="6" t="s">
        <v>52</v>
      </c>
      <c r="G74" s="6" t="s">
        <v>369</v>
      </c>
      <c r="H74" s="6" t="s">
        <v>370</v>
      </c>
      <c r="I74" s="21">
        <v>1</v>
      </c>
      <c r="J74" s="6" t="s">
        <v>55</v>
      </c>
      <c r="L74" s="6" t="s">
        <v>518</v>
      </c>
      <c r="N74" s="21">
        <v>4</v>
      </c>
    </row>
    <row r="75" spans="1:14" x14ac:dyDescent="0.2">
      <c r="A75" s="6" t="s">
        <v>519</v>
      </c>
      <c r="C75" s="6" t="s">
        <v>519</v>
      </c>
      <c r="D75" s="6" t="s">
        <v>520</v>
      </c>
      <c r="E75" s="6" t="s">
        <v>51</v>
      </c>
      <c r="F75" s="6" t="s">
        <v>52</v>
      </c>
      <c r="G75" s="6" t="s">
        <v>369</v>
      </c>
      <c r="H75" s="6" t="s">
        <v>370</v>
      </c>
      <c r="I75" s="21">
        <v>1</v>
      </c>
      <c r="J75" s="6" t="s">
        <v>55</v>
      </c>
      <c r="L75" s="6" t="s">
        <v>521</v>
      </c>
      <c r="N75" s="21">
        <v>3</v>
      </c>
    </row>
    <row r="76" spans="1:14" s="8" customFormat="1" x14ac:dyDescent="0.2">
      <c r="A76" s="7" t="s">
        <v>522</v>
      </c>
      <c r="C76" s="7" t="s">
        <v>522</v>
      </c>
      <c r="I76" s="36">
        <f>AVERAGE(I77:I79)</f>
        <v>1.3333333333333333</v>
      </c>
      <c r="N76" s="36">
        <f>AVERAGE(N77:N79)</f>
        <v>2.3333333333333335</v>
      </c>
    </row>
    <row r="77" spans="1:14" x14ac:dyDescent="0.2">
      <c r="A77" s="6" t="s">
        <v>523</v>
      </c>
      <c r="C77" s="6" t="s">
        <v>523</v>
      </c>
      <c r="D77" s="6" t="s">
        <v>524</v>
      </c>
      <c r="E77" s="6" t="s">
        <v>51</v>
      </c>
      <c r="F77" s="6" t="s">
        <v>52</v>
      </c>
      <c r="G77" s="6" t="s">
        <v>369</v>
      </c>
      <c r="H77" s="6" t="s">
        <v>370</v>
      </c>
      <c r="I77" s="21">
        <v>1</v>
      </c>
      <c r="J77" s="6" t="s">
        <v>55</v>
      </c>
      <c r="L77" s="6" t="s">
        <v>525</v>
      </c>
      <c r="N77" s="21">
        <v>2</v>
      </c>
    </row>
    <row r="78" spans="1:14" x14ac:dyDescent="0.2">
      <c r="A78" s="6" t="s">
        <v>526</v>
      </c>
      <c r="C78" s="6" t="s">
        <v>526</v>
      </c>
      <c r="D78" s="6" t="s">
        <v>527</v>
      </c>
      <c r="E78" s="6" t="s">
        <v>51</v>
      </c>
      <c r="F78" s="6" t="s">
        <v>52</v>
      </c>
      <c r="G78" s="6" t="s">
        <v>369</v>
      </c>
      <c r="H78" s="6" t="s">
        <v>370</v>
      </c>
      <c r="I78" s="21">
        <v>1</v>
      </c>
      <c r="J78" s="6" t="s">
        <v>55</v>
      </c>
      <c r="L78" s="6" t="s">
        <v>439</v>
      </c>
      <c r="N78" s="21">
        <v>2</v>
      </c>
    </row>
    <row r="79" spans="1:14" x14ac:dyDescent="0.2">
      <c r="A79" s="6" t="s">
        <v>528</v>
      </c>
      <c r="C79" s="6" t="s">
        <v>528</v>
      </c>
      <c r="D79" s="6" t="s">
        <v>529</v>
      </c>
      <c r="E79" s="6" t="s">
        <v>51</v>
      </c>
      <c r="F79" s="6" t="s">
        <v>52</v>
      </c>
      <c r="G79" s="6" t="s">
        <v>369</v>
      </c>
      <c r="H79" s="6" t="s">
        <v>370</v>
      </c>
      <c r="I79" s="21">
        <v>2</v>
      </c>
      <c r="J79" s="6" t="s">
        <v>55</v>
      </c>
      <c r="L79" s="6" t="s">
        <v>409</v>
      </c>
      <c r="N79" s="21">
        <v>3</v>
      </c>
    </row>
    <row r="80" spans="1:14" s="8" customFormat="1" x14ac:dyDescent="0.2">
      <c r="A80" s="7" t="s">
        <v>530</v>
      </c>
      <c r="C80" s="7" t="s">
        <v>530</v>
      </c>
      <c r="I80" s="36">
        <f>AVERAGE(I81:I83)</f>
        <v>3.3333333333333335</v>
      </c>
      <c r="N80" s="36">
        <f>AVERAGE(N81:N83)</f>
        <v>2.6666666666666665</v>
      </c>
    </row>
    <row r="81" spans="1:20" x14ac:dyDescent="0.2">
      <c r="A81" s="6" t="s">
        <v>531</v>
      </c>
      <c r="C81" s="6" t="s">
        <v>531</v>
      </c>
      <c r="E81" s="6" t="s">
        <v>51</v>
      </c>
      <c r="F81" s="6" t="s">
        <v>66</v>
      </c>
      <c r="G81" s="6" t="s">
        <v>369</v>
      </c>
      <c r="H81" s="6" t="s">
        <v>370</v>
      </c>
      <c r="I81" s="21">
        <v>3</v>
      </c>
      <c r="J81" s="6" t="s">
        <v>55</v>
      </c>
      <c r="L81" s="6" t="s">
        <v>532</v>
      </c>
      <c r="N81" s="21">
        <v>4</v>
      </c>
    </row>
    <row r="82" spans="1:20" x14ac:dyDescent="0.2">
      <c r="A82" s="6" t="s">
        <v>533</v>
      </c>
      <c r="C82" s="6" t="s">
        <v>533</v>
      </c>
      <c r="D82" s="6" t="s">
        <v>534</v>
      </c>
      <c r="E82" s="6" t="s">
        <v>51</v>
      </c>
      <c r="F82" s="6" t="s">
        <v>52</v>
      </c>
      <c r="G82" s="6" t="s">
        <v>369</v>
      </c>
      <c r="H82" s="6" t="s">
        <v>499</v>
      </c>
      <c r="I82" s="21">
        <v>3</v>
      </c>
      <c r="J82" s="6" t="s">
        <v>55</v>
      </c>
      <c r="L82" s="6" t="s">
        <v>535</v>
      </c>
      <c r="N82" s="21">
        <v>2</v>
      </c>
    </row>
    <row r="83" spans="1:20" x14ac:dyDescent="0.2">
      <c r="A83" s="6" t="s">
        <v>536</v>
      </c>
      <c r="C83" s="6" t="s">
        <v>536</v>
      </c>
      <c r="D83" s="6" t="s">
        <v>537</v>
      </c>
      <c r="E83" s="6" t="s">
        <v>51</v>
      </c>
      <c r="F83" s="6" t="s">
        <v>52</v>
      </c>
      <c r="G83" s="6" t="s">
        <v>369</v>
      </c>
      <c r="H83" s="6" t="s">
        <v>370</v>
      </c>
      <c r="I83" s="21">
        <v>4</v>
      </c>
      <c r="J83" s="6" t="s">
        <v>55</v>
      </c>
      <c r="L83" s="6" t="s">
        <v>538</v>
      </c>
      <c r="N83" s="21">
        <v>2</v>
      </c>
    </row>
    <row r="84" spans="1:20" s="8" customFormat="1" x14ac:dyDescent="0.2">
      <c r="A84" s="7" t="s">
        <v>539</v>
      </c>
      <c r="C84" s="7" t="s">
        <v>539</v>
      </c>
      <c r="I84" s="22">
        <f>AVERAGE(I85:I88)</f>
        <v>1.25</v>
      </c>
      <c r="N84" s="22">
        <f>AVERAGE(N85:N88)</f>
        <v>2.5</v>
      </c>
    </row>
    <row r="85" spans="1:20" x14ac:dyDescent="0.2">
      <c r="A85" s="6" t="s">
        <v>540</v>
      </c>
      <c r="C85" s="6" t="s">
        <v>541</v>
      </c>
      <c r="E85" s="6" t="s">
        <v>51</v>
      </c>
      <c r="F85" s="6" t="s">
        <v>66</v>
      </c>
      <c r="G85" s="6" t="s">
        <v>369</v>
      </c>
      <c r="H85" s="6" t="s">
        <v>370</v>
      </c>
      <c r="I85" s="21">
        <v>1</v>
      </c>
      <c r="J85" s="6" t="s">
        <v>55</v>
      </c>
      <c r="L85" s="6" t="s">
        <v>542</v>
      </c>
      <c r="N85" s="21">
        <v>4</v>
      </c>
    </row>
    <row r="86" spans="1:20" x14ac:dyDescent="0.2">
      <c r="A86" s="6" t="s">
        <v>543</v>
      </c>
      <c r="C86" s="6" t="s">
        <v>544</v>
      </c>
      <c r="E86" s="6" t="s">
        <v>51</v>
      </c>
      <c r="F86" s="6" t="s">
        <v>52</v>
      </c>
      <c r="G86" s="6" t="s">
        <v>369</v>
      </c>
      <c r="H86" s="6" t="s">
        <v>370</v>
      </c>
      <c r="I86" s="21">
        <v>1</v>
      </c>
      <c r="J86" s="6" t="s">
        <v>55</v>
      </c>
      <c r="L86" s="6" t="s">
        <v>545</v>
      </c>
      <c r="N86" s="21">
        <v>3</v>
      </c>
    </row>
    <row r="87" spans="1:20" x14ac:dyDescent="0.2">
      <c r="A87" s="6" t="s">
        <v>546</v>
      </c>
      <c r="C87" s="6" t="s">
        <v>547</v>
      </c>
      <c r="D87" s="6" t="s">
        <v>548</v>
      </c>
      <c r="E87" s="6" t="s">
        <v>51</v>
      </c>
      <c r="F87" s="6" t="s">
        <v>52</v>
      </c>
      <c r="G87" s="6" t="s">
        <v>369</v>
      </c>
      <c r="H87" s="6" t="s">
        <v>370</v>
      </c>
      <c r="I87" s="21">
        <v>2</v>
      </c>
      <c r="J87" s="6" t="s">
        <v>55</v>
      </c>
      <c r="L87" s="6" t="s">
        <v>549</v>
      </c>
      <c r="N87" s="21">
        <v>2</v>
      </c>
    </row>
    <row r="88" spans="1:20" s="8" customFormat="1" x14ac:dyDescent="0.2">
      <c r="A88" s="25" t="s">
        <v>550</v>
      </c>
      <c r="B88" s="25"/>
      <c r="C88" s="25" t="s">
        <v>550</v>
      </c>
      <c r="D88" s="25" t="s">
        <v>551</v>
      </c>
      <c r="E88" s="6" t="s">
        <v>51</v>
      </c>
      <c r="F88" s="6" t="s">
        <v>52</v>
      </c>
      <c r="G88" s="6" t="s">
        <v>369</v>
      </c>
      <c r="H88" s="6" t="s">
        <v>370</v>
      </c>
      <c r="I88" s="37">
        <v>1</v>
      </c>
      <c r="J88" s="6" t="s">
        <v>55</v>
      </c>
      <c r="K88" s="25"/>
      <c r="L88" s="25"/>
      <c r="M88" s="25"/>
      <c r="N88" s="37">
        <v>1</v>
      </c>
      <c r="O88" s="25"/>
      <c r="P88" s="25"/>
      <c r="Q88" s="25"/>
      <c r="R88" s="25"/>
      <c r="S88" s="25"/>
      <c r="T88" s="6"/>
    </row>
    <row r="90" spans="1:20" x14ac:dyDescent="0.2">
      <c r="A90" s="44" t="s">
        <v>929</v>
      </c>
      <c r="B90" s="44" t="s">
        <v>930</v>
      </c>
      <c r="C90" s="42"/>
      <c r="D90" s="42"/>
      <c r="E90" s="42"/>
      <c r="F90" s="42"/>
      <c r="G90" s="42"/>
      <c r="H90" s="42"/>
      <c r="I90" s="43"/>
      <c r="J90" s="42"/>
      <c r="K90" s="42"/>
      <c r="L90" s="42"/>
      <c r="M90" s="42"/>
      <c r="N90" s="43"/>
      <c r="O90" s="42"/>
      <c r="P90" s="42"/>
      <c r="Q90" s="42"/>
      <c r="R90" s="42"/>
    </row>
    <row r="91" spans="1:20" x14ac:dyDescent="0.2">
      <c r="A91" s="7" t="s">
        <v>374</v>
      </c>
      <c r="B91" s="6" t="s">
        <v>1001</v>
      </c>
    </row>
    <row r="92" spans="1:20" x14ac:dyDescent="0.2">
      <c r="A92" s="20" t="s">
        <v>375</v>
      </c>
      <c r="B92" s="6" t="s">
        <v>931</v>
      </c>
    </row>
    <row r="93" spans="1:20" x14ac:dyDescent="0.2">
      <c r="A93" s="20" t="s">
        <v>378</v>
      </c>
      <c r="B93" s="6" t="s">
        <v>931</v>
      </c>
    </row>
    <row r="94" spans="1:20" x14ac:dyDescent="0.2">
      <c r="A94" s="20" t="s">
        <v>381</v>
      </c>
      <c r="B94" s="6" t="s">
        <v>931</v>
      </c>
    </row>
    <row r="95" spans="1:20" x14ac:dyDescent="0.2">
      <c r="A95" s="20" t="s">
        <v>384</v>
      </c>
      <c r="B95" s="6" t="s">
        <v>931</v>
      </c>
    </row>
    <row r="96" spans="1:20" x14ac:dyDescent="0.2">
      <c r="A96" s="7" t="s">
        <v>387</v>
      </c>
    </row>
    <row r="97" spans="1:1" x14ac:dyDescent="0.2">
      <c r="A97" s="6" t="s">
        <v>388</v>
      </c>
    </row>
    <row r="98" spans="1:1" x14ac:dyDescent="0.2">
      <c r="A98" s="6" t="s">
        <v>391</v>
      </c>
    </row>
    <row r="99" spans="1:1" x14ac:dyDescent="0.2">
      <c r="A99" s="6" t="s">
        <v>394</v>
      </c>
    </row>
    <row r="100" spans="1:1" x14ac:dyDescent="0.2">
      <c r="A100" s="7" t="s">
        <v>397</v>
      </c>
    </row>
    <row r="101" spans="1:1" x14ac:dyDescent="0.2">
      <c r="A101" s="6" t="s">
        <v>398</v>
      </c>
    </row>
    <row r="102" spans="1:1" x14ac:dyDescent="0.2">
      <c r="A102" s="6" t="s">
        <v>401</v>
      </c>
    </row>
    <row r="103" spans="1:1" x14ac:dyDescent="0.2">
      <c r="A103" s="6" t="s">
        <v>404</v>
      </c>
    </row>
    <row r="104" spans="1:1" x14ac:dyDescent="0.2">
      <c r="A104" s="6" t="s">
        <v>407</v>
      </c>
    </row>
    <row r="105" spans="1:1" x14ac:dyDescent="0.2">
      <c r="A105" s="7" t="s">
        <v>459</v>
      </c>
    </row>
    <row r="106" spans="1:1" x14ac:dyDescent="0.2">
      <c r="A106" s="6" t="s">
        <v>460</v>
      </c>
    </row>
    <row r="107" spans="1:1" x14ac:dyDescent="0.2">
      <c r="A107" s="6" t="s">
        <v>461</v>
      </c>
    </row>
    <row r="108" spans="1:1" x14ac:dyDescent="0.2">
      <c r="A108" s="6" t="s">
        <v>464</v>
      </c>
    </row>
    <row r="109" spans="1:1" x14ac:dyDescent="0.2">
      <c r="A109" s="7" t="s">
        <v>928</v>
      </c>
    </row>
    <row r="110" spans="1:1" x14ac:dyDescent="0.2">
      <c r="A110" s="6" t="s">
        <v>502</v>
      </c>
    </row>
    <row r="111" spans="1:1" x14ac:dyDescent="0.2">
      <c r="A111" s="6" t="s">
        <v>506</v>
      </c>
    </row>
    <row r="112" spans="1:1" x14ac:dyDescent="0.2">
      <c r="A112" s="6" t="s">
        <v>509</v>
      </c>
    </row>
    <row r="113" spans="1:1" x14ac:dyDescent="0.2">
      <c r="A113" s="6" t="s">
        <v>553</v>
      </c>
    </row>
  </sheetData>
  <mergeCells count="1">
    <mergeCell ref="J1:K1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28B7-A0E9-4F91-82CC-51F1FC922464}">
  <sheetPr>
    <tabColor theme="4" tint="0.59999389629810485"/>
  </sheetPr>
  <dimension ref="A1:C94"/>
  <sheetViews>
    <sheetView zoomScale="108" workbookViewId="0">
      <selection activeCell="E42" sqref="E42"/>
    </sheetView>
  </sheetViews>
  <sheetFormatPr defaultRowHeight="15.75" x14ac:dyDescent="0.25"/>
  <cols>
    <col min="1" max="1" width="76.25" bestFit="1" customWidth="1"/>
    <col min="3" max="3" width="17" customWidth="1"/>
  </cols>
  <sheetData>
    <row r="1" spans="1:3" x14ac:dyDescent="0.25">
      <c r="A1" s="3" t="s">
        <v>38</v>
      </c>
      <c r="B1" s="5" t="s">
        <v>368</v>
      </c>
      <c r="C1" s="5" t="s">
        <v>552</v>
      </c>
    </row>
    <row r="2" spans="1:3" x14ac:dyDescent="0.25">
      <c r="A2" s="7" t="s">
        <v>964</v>
      </c>
      <c r="B2" s="22">
        <f>AVERAGE(B3:B7)</f>
        <v>2</v>
      </c>
      <c r="C2" s="22" t="s">
        <v>499</v>
      </c>
    </row>
    <row r="3" spans="1:3" x14ac:dyDescent="0.25">
      <c r="A3" s="6" t="s">
        <v>965</v>
      </c>
      <c r="B3" s="21">
        <v>2</v>
      </c>
      <c r="C3" s="21"/>
    </row>
    <row r="4" spans="1:3" x14ac:dyDescent="0.25">
      <c r="A4" s="6" t="s">
        <v>966</v>
      </c>
      <c r="B4" s="21">
        <v>2</v>
      </c>
      <c r="C4" s="21"/>
    </row>
    <row r="5" spans="1:3" x14ac:dyDescent="0.25">
      <c r="A5" s="6" t="s">
        <v>967</v>
      </c>
      <c r="B5" s="21">
        <v>2</v>
      </c>
      <c r="C5" s="21"/>
    </row>
    <row r="6" spans="1:3" x14ac:dyDescent="0.25">
      <c r="A6" s="6" t="s">
        <v>969</v>
      </c>
      <c r="B6" s="21">
        <v>2</v>
      </c>
      <c r="C6" s="21"/>
    </row>
    <row r="7" spans="1:3" x14ac:dyDescent="0.25">
      <c r="A7" s="6" t="s">
        <v>970</v>
      </c>
      <c r="B7" s="21">
        <v>2</v>
      </c>
      <c r="C7" s="21"/>
    </row>
    <row r="8" spans="1:3" x14ac:dyDescent="0.25">
      <c r="A8" s="7" t="s">
        <v>374</v>
      </c>
      <c r="B8" s="22">
        <f>AVERAGE(B9:B12)</f>
        <v>2.5</v>
      </c>
      <c r="C8" s="22" t="s">
        <v>499</v>
      </c>
    </row>
    <row r="9" spans="1:3" x14ac:dyDescent="0.25">
      <c r="A9" s="20" t="s">
        <v>375</v>
      </c>
      <c r="B9" s="21">
        <v>4</v>
      </c>
      <c r="C9" s="21"/>
    </row>
    <row r="10" spans="1:3" x14ac:dyDescent="0.25">
      <c r="A10" s="20" t="s">
        <v>378</v>
      </c>
      <c r="B10" s="21">
        <v>2</v>
      </c>
      <c r="C10" s="21"/>
    </row>
    <row r="11" spans="1:3" x14ac:dyDescent="0.25">
      <c r="A11" s="20" t="s">
        <v>381</v>
      </c>
      <c r="B11" s="21">
        <v>1</v>
      </c>
      <c r="C11" s="21"/>
    </row>
    <row r="12" spans="1:3" x14ac:dyDescent="0.25">
      <c r="A12" s="20" t="s">
        <v>384</v>
      </c>
      <c r="B12" s="21">
        <v>3</v>
      </c>
      <c r="C12" s="21"/>
    </row>
    <row r="13" spans="1:3" x14ac:dyDescent="0.25">
      <c r="A13" s="7" t="s">
        <v>387</v>
      </c>
      <c r="B13" s="36">
        <f>AVERAGE(B14:B16)</f>
        <v>3.3333333333333335</v>
      </c>
      <c r="C13" s="22" t="s">
        <v>499</v>
      </c>
    </row>
    <row r="14" spans="1:3" x14ac:dyDescent="0.25">
      <c r="A14" s="6" t="s">
        <v>388</v>
      </c>
      <c r="B14" s="21">
        <v>3</v>
      </c>
      <c r="C14" s="21"/>
    </row>
    <row r="15" spans="1:3" x14ac:dyDescent="0.25">
      <c r="A15" s="6" t="s">
        <v>391</v>
      </c>
      <c r="B15" s="21">
        <v>4</v>
      </c>
      <c r="C15" s="21"/>
    </row>
    <row r="16" spans="1:3" x14ac:dyDescent="0.25">
      <c r="A16" s="6" t="s">
        <v>394</v>
      </c>
      <c r="B16" s="21">
        <v>3</v>
      </c>
      <c r="C16" s="21"/>
    </row>
    <row r="17" spans="1:3" x14ac:dyDescent="0.25">
      <c r="A17" s="7" t="s">
        <v>397</v>
      </c>
      <c r="B17" s="22">
        <f>AVERAGE(B18:B21)</f>
        <v>2</v>
      </c>
      <c r="C17" s="22" t="s">
        <v>499</v>
      </c>
    </row>
    <row r="18" spans="1:3" x14ac:dyDescent="0.25">
      <c r="A18" s="6" t="s">
        <v>398</v>
      </c>
      <c r="B18" s="21">
        <v>2</v>
      </c>
      <c r="C18" s="21"/>
    </row>
    <row r="19" spans="1:3" x14ac:dyDescent="0.25">
      <c r="A19" s="6" t="s">
        <v>401</v>
      </c>
      <c r="B19" s="21">
        <v>1</v>
      </c>
      <c r="C19" s="21"/>
    </row>
    <row r="20" spans="1:3" x14ac:dyDescent="0.25">
      <c r="A20" s="6" t="s">
        <v>404</v>
      </c>
      <c r="B20" s="21">
        <v>2</v>
      </c>
      <c r="C20" s="21"/>
    </row>
    <row r="21" spans="1:3" x14ac:dyDescent="0.25">
      <c r="A21" s="6" t="s">
        <v>407</v>
      </c>
      <c r="B21" s="21">
        <v>3</v>
      </c>
      <c r="C21" s="21"/>
    </row>
    <row r="22" spans="1:3" x14ac:dyDescent="0.25">
      <c r="A22" s="7" t="s">
        <v>410</v>
      </c>
      <c r="B22" s="22">
        <f>AVERAGE(B23:B26)</f>
        <v>2.5</v>
      </c>
      <c r="C22" s="22" t="s">
        <v>499</v>
      </c>
    </row>
    <row r="23" spans="1:3" x14ac:dyDescent="0.25">
      <c r="A23" s="6" t="s">
        <v>411</v>
      </c>
      <c r="B23" s="21">
        <v>4</v>
      </c>
      <c r="C23" s="21"/>
    </row>
    <row r="24" spans="1:3" x14ac:dyDescent="0.25">
      <c r="A24" s="6" t="s">
        <v>414</v>
      </c>
      <c r="B24" s="21">
        <v>3</v>
      </c>
      <c r="C24" s="21"/>
    </row>
    <row r="25" spans="1:3" x14ac:dyDescent="0.25">
      <c r="A25" s="6" t="s">
        <v>417</v>
      </c>
      <c r="B25" s="21">
        <v>1</v>
      </c>
      <c r="C25" s="21"/>
    </row>
    <row r="26" spans="1:3" x14ac:dyDescent="0.25">
      <c r="A26" s="6" t="s">
        <v>420</v>
      </c>
      <c r="B26" s="21">
        <v>2</v>
      </c>
      <c r="C26" s="21"/>
    </row>
    <row r="27" spans="1:3" x14ac:dyDescent="0.25">
      <c r="A27" s="7" t="s">
        <v>423</v>
      </c>
      <c r="B27" s="22">
        <f>AVERAGE(B28:B29)</f>
        <v>2</v>
      </c>
      <c r="C27" s="22" t="s">
        <v>499</v>
      </c>
    </row>
    <row r="28" spans="1:3" x14ac:dyDescent="0.25">
      <c r="A28" s="6" t="s">
        <v>424</v>
      </c>
      <c r="B28" s="21">
        <v>2</v>
      </c>
      <c r="C28" s="21"/>
    </row>
    <row r="29" spans="1:3" x14ac:dyDescent="0.25">
      <c r="A29" s="6" t="s">
        <v>426</v>
      </c>
      <c r="B29" s="21">
        <v>2</v>
      </c>
      <c r="C29" s="21"/>
    </row>
    <row r="30" spans="1:3" x14ac:dyDescent="0.25">
      <c r="A30" s="7" t="s">
        <v>429</v>
      </c>
      <c r="B30" s="36">
        <f>AVERAGE(B31:B33)</f>
        <v>3.6666666666666665</v>
      </c>
      <c r="C30" s="22" t="s">
        <v>499</v>
      </c>
    </row>
    <row r="31" spans="1:3" x14ac:dyDescent="0.25">
      <c r="A31" s="6" t="s">
        <v>430</v>
      </c>
      <c r="B31" s="21">
        <v>4</v>
      </c>
      <c r="C31" s="21"/>
    </row>
    <row r="32" spans="1:3" x14ac:dyDescent="0.25">
      <c r="A32" s="6" t="s">
        <v>432</v>
      </c>
      <c r="B32" s="21">
        <v>3</v>
      </c>
      <c r="C32" s="21"/>
    </row>
    <row r="33" spans="1:3" x14ac:dyDescent="0.25">
      <c r="A33" s="6" t="s">
        <v>434</v>
      </c>
      <c r="B33" s="21">
        <v>4</v>
      </c>
      <c r="C33" s="21"/>
    </row>
    <row r="34" spans="1:3" x14ac:dyDescent="0.25">
      <c r="A34" s="7" t="s">
        <v>437</v>
      </c>
      <c r="B34" s="22">
        <f>AVERAGE(B35:B38)</f>
        <v>2.25</v>
      </c>
      <c r="C34" s="22" t="s">
        <v>499</v>
      </c>
    </row>
    <row r="35" spans="1:3" x14ac:dyDescent="0.25">
      <c r="A35" s="6" t="s">
        <v>438</v>
      </c>
      <c r="B35" s="21">
        <v>3</v>
      </c>
      <c r="C35" s="21"/>
    </row>
    <row r="36" spans="1:3" x14ac:dyDescent="0.25">
      <c r="A36" s="6" t="s">
        <v>440</v>
      </c>
      <c r="B36" s="21">
        <v>2</v>
      </c>
      <c r="C36" s="21"/>
    </row>
    <row r="37" spans="1:3" x14ac:dyDescent="0.25">
      <c r="A37" s="6" t="s">
        <v>443</v>
      </c>
      <c r="B37" s="21">
        <v>2</v>
      </c>
      <c r="C37" s="21"/>
    </row>
    <row r="38" spans="1:3" x14ac:dyDescent="0.25">
      <c r="A38" s="6" t="s">
        <v>446</v>
      </c>
      <c r="B38" s="21">
        <v>2</v>
      </c>
      <c r="C38" s="21"/>
    </row>
    <row r="39" spans="1:3" x14ac:dyDescent="0.25">
      <c r="A39" s="7" t="s">
        <v>449</v>
      </c>
      <c r="B39" s="36">
        <f>AVERAGE(B40:B42)</f>
        <v>2.6666666666666665</v>
      </c>
      <c r="C39" s="22" t="s">
        <v>499</v>
      </c>
    </row>
    <row r="40" spans="1:3" x14ac:dyDescent="0.25">
      <c r="A40" s="6" t="s">
        <v>450</v>
      </c>
      <c r="B40" s="21">
        <v>4</v>
      </c>
      <c r="C40" s="21"/>
    </row>
    <row r="41" spans="1:3" x14ac:dyDescent="0.25">
      <c r="A41" s="6" t="s">
        <v>453</v>
      </c>
      <c r="B41" s="21">
        <v>2</v>
      </c>
      <c r="C41" s="21"/>
    </row>
    <row r="42" spans="1:3" x14ac:dyDescent="0.25">
      <c r="A42" s="6" t="s">
        <v>456</v>
      </c>
      <c r="B42" s="21">
        <v>2</v>
      </c>
      <c r="C42" s="21"/>
    </row>
    <row r="43" spans="1:3" x14ac:dyDescent="0.25">
      <c r="A43" s="7" t="s">
        <v>459</v>
      </c>
      <c r="B43" s="36">
        <f>AVERAGE(B44:B46)</f>
        <v>2.3333333333333335</v>
      </c>
      <c r="C43" s="22" t="s">
        <v>499</v>
      </c>
    </row>
    <row r="44" spans="1:3" x14ac:dyDescent="0.25">
      <c r="A44" s="6" t="s">
        <v>460</v>
      </c>
      <c r="B44" s="21">
        <v>2</v>
      </c>
      <c r="C44" s="21"/>
    </row>
    <row r="45" spans="1:3" x14ac:dyDescent="0.25">
      <c r="A45" s="6" t="s">
        <v>461</v>
      </c>
      <c r="B45" s="21">
        <v>2</v>
      </c>
      <c r="C45" s="21"/>
    </row>
    <row r="46" spans="1:3" x14ac:dyDescent="0.25">
      <c r="A46" s="6" t="s">
        <v>464</v>
      </c>
      <c r="B46" s="21">
        <v>3</v>
      </c>
      <c r="C46" s="21"/>
    </row>
    <row r="47" spans="1:3" x14ac:dyDescent="0.25">
      <c r="A47" s="7" t="s">
        <v>467</v>
      </c>
      <c r="B47" s="36">
        <f>AVERAGE(B48:B50)</f>
        <v>1.6666666666666667</v>
      </c>
      <c r="C47" s="22"/>
    </row>
    <row r="48" spans="1:3" x14ac:dyDescent="0.25">
      <c r="A48" s="6" t="s">
        <v>468</v>
      </c>
      <c r="B48" s="21">
        <v>2</v>
      </c>
      <c r="C48" s="21"/>
    </row>
    <row r="49" spans="1:3" x14ac:dyDescent="0.25">
      <c r="A49" s="6" t="s">
        <v>470</v>
      </c>
      <c r="B49" s="21">
        <v>2</v>
      </c>
      <c r="C49" s="21"/>
    </row>
    <row r="50" spans="1:3" x14ac:dyDescent="0.25">
      <c r="A50" s="12" t="s">
        <v>471</v>
      </c>
      <c r="B50" s="21">
        <v>1</v>
      </c>
      <c r="C50" s="21"/>
    </row>
    <row r="51" spans="1:3" x14ac:dyDescent="0.25">
      <c r="A51" s="7" t="s">
        <v>474</v>
      </c>
      <c r="B51" s="36">
        <f>AVERAGE(B52:B54)</f>
        <v>1.6666666666666667</v>
      </c>
      <c r="C51" s="22"/>
    </row>
    <row r="52" spans="1:3" x14ac:dyDescent="0.25">
      <c r="A52" s="6" t="s">
        <v>475</v>
      </c>
      <c r="B52" s="21">
        <v>2</v>
      </c>
      <c r="C52" s="21"/>
    </row>
    <row r="53" spans="1:3" x14ac:dyDescent="0.25">
      <c r="A53" s="6" t="s">
        <v>476</v>
      </c>
      <c r="B53" s="21">
        <v>2</v>
      </c>
      <c r="C53" s="21"/>
    </row>
    <row r="54" spans="1:3" x14ac:dyDescent="0.25">
      <c r="A54" s="6" t="s">
        <v>477</v>
      </c>
      <c r="B54" s="21">
        <v>1</v>
      </c>
      <c r="C54" s="21"/>
    </row>
    <row r="55" spans="1:3" x14ac:dyDescent="0.25">
      <c r="A55" s="7" t="s">
        <v>480</v>
      </c>
      <c r="B55" s="36">
        <f>AVERAGE(B56:B58)</f>
        <v>3.3333333333333335</v>
      </c>
      <c r="C55" s="22"/>
    </row>
    <row r="56" spans="1:3" x14ac:dyDescent="0.25">
      <c r="A56" s="6" t="s">
        <v>481</v>
      </c>
      <c r="B56" s="21">
        <v>4</v>
      </c>
      <c r="C56" s="21"/>
    </row>
    <row r="57" spans="1:3" x14ac:dyDescent="0.25">
      <c r="A57" s="6" t="s">
        <v>483</v>
      </c>
      <c r="B57" s="21">
        <v>4</v>
      </c>
      <c r="C57" s="21"/>
    </row>
    <row r="58" spans="1:3" x14ac:dyDescent="0.25">
      <c r="A58" s="6" t="s">
        <v>485</v>
      </c>
      <c r="B58" s="21">
        <v>2</v>
      </c>
      <c r="C58" s="21"/>
    </row>
    <row r="59" spans="1:3" x14ac:dyDescent="0.25">
      <c r="A59" s="7" t="s">
        <v>488</v>
      </c>
      <c r="B59" s="36">
        <f>AVERAGE(B60:B62)</f>
        <v>1.6666666666666667</v>
      </c>
      <c r="C59" s="22"/>
    </row>
    <row r="60" spans="1:3" x14ac:dyDescent="0.25">
      <c r="A60" s="6" t="s">
        <v>489</v>
      </c>
      <c r="B60" s="21">
        <v>2</v>
      </c>
      <c r="C60" s="21"/>
    </row>
    <row r="61" spans="1:3" x14ac:dyDescent="0.25">
      <c r="A61" s="6" t="s">
        <v>490</v>
      </c>
      <c r="B61" s="21">
        <v>2</v>
      </c>
      <c r="C61" s="21"/>
    </row>
    <row r="62" spans="1:3" x14ac:dyDescent="0.25">
      <c r="A62" s="6" t="s">
        <v>492</v>
      </c>
      <c r="B62" s="21">
        <v>1</v>
      </c>
      <c r="C62" s="21"/>
    </row>
    <row r="63" spans="1:3" x14ac:dyDescent="0.25">
      <c r="A63" s="7" t="s">
        <v>494</v>
      </c>
      <c r="B63" s="22">
        <f>AVERAGE(B64:B66)</f>
        <v>4</v>
      </c>
      <c r="C63" s="22"/>
    </row>
    <row r="64" spans="1:3" x14ac:dyDescent="0.25">
      <c r="A64" s="6" t="s">
        <v>495</v>
      </c>
      <c r="B64" s="21">
        <v>4</v>
      </c>
      <c r="C64" s="21"/>
    </row>
    <row r="65" spans="1:3" x14ac:dyDescent="0.25">
      <c r="A65" s="31" t="s">
        <v>497</v>
      </c>
      <c r="B65" s="21">
        <v>4</v>
      </c>
      <c r="C65" s="21"/>
    </row>
    <row r="66" spans="1:3" x14ac:dyDescent="0.25">
      <c r="A66" s="31" t="s">
        <v>498</v>
      </c>
      <c r="B66" s="21">
        <v>4</v>
      </c>
      <c r="C66" s="21"/>
    </row>
    <row r="67" spans="1:3" x14ac:dyDescent="0.25">
      <c r="A67" s="7" t="s">
        <v>928</v>
      </c>
      <c r="B67" s="36">
        <f>AVERAGE(B68:B71)</f>
        <v>3.25</v>
      </c>
      <c r="C67" s="22" t="s">
        <v>499</v>
      </c>
    </row>
    <row r="68" spans="1:3" x14ac:dyDescent="0.25">
      <c r="A68" s="6" t="s">
        <v>502</v>
      </c>
      <c r="B68" s="21">
        <v>4</v>
      </c>
      <c r="C68" s="21"/>
    </row>
    <row r="69" spans="1:3" x14ac:dyDescent="0.25">
      <c r="A69" s="6" t="s">
        <v>506</v>
      </c>
      <c r="B69" s="21">
        <v>4</v>
      </c>
      <c r="C69" s="21"/>
    </row>
    <row r="70" spans="1:3" x14ac:dyDescent="0.25">
      <c r="A70" s="6" t="s">
        <v>509</v>
      </c>
      <c r="B70" s="21">
        <v>2</v>
      </c>
      <c r="C70" s="21"/>
    </row>
    <row r="71" spans="1:3" x14ac:dyDescent="0.25">
      <c r="A71" s="38" t="s">
        <v>553</v>
      </c>
      <c r="B71" s="21">
        <v>3</v>
      </c>
      <c r="C71" s="21"/>
    </row>
    <row r="72" spans="1:3" x14ac:dyDescent="0.25">
      <c r="A72" s="7" t="s">
        <v>512</v>
      </c>
      <c r="B72" s="36">
        <f>AVERAGE(B73:B75)</f>
        <v>2.6666666666666665</v>
      </c>
      <c r="C72" s="22"/>
    </row>
    <row r="73" spans="1:3" x14ac:dyDescent="0.25">
      <c r="A73" s="6" t="s">
        <v>513</v>
      </c>
      <c r="B73" s="21">
        <v>1</v>
      </c>
      <c r="C73" s="21"/>
    </row>
    <row r="74" spans="1:3" x14ac:dyDescent="0.25">
      <c r="A74" s="6" t="s">
        <v>516</v>
      </c>
      <c r="B74" s="21">
        <v>4</v>
      </c>
      <c r="C74" s="21"/>
    </row>
    <row r="75" spans="1:3" x14ac:dyDescent="0.25">
      <c r="A75" s="6" t="s">
        <v>519</v>
      </c>
      <c r="B75" s="21">
        <v>3</v>
      </c>
      <c r="C75" s="21"/>
    </row>
    <row r="76" spans="1:3" x14ac:dyDescent="0.25">
      <c r="A76" s="7" t="s">
        <v>522</v>
      </c>
      <c r="B76" s="36">
        <f>AVERAGE(B77:B79)</f>
        <v>2.3333333333333335</v>
      </c>
      <c r="C76" s="22"/>
    </row>
    <row r="77" spans="1:3" x14ac:dyDescent="0.25">
      <c r="A77" s="6" t="s">
        <v>523</v>
      </c>
      <c r="B77" s="21">
        <v>2</v>
      </c>
      <c r="C77" s="21"/>
    </row>
    <row r="78" spans="1:3" x14ac:dyDescent="0.25">
      <c r="A78" s="6" t="s">
        <v>526</v>
      </c>
      <c r="B78" s="21">
        <v>2</v>
      </c>
      <c r="C78" s="21"/>
    </row>
    <row r="79" spans="1:3" x14ac:dyDescent="0.25">
      <c r="A79" s="6" t="s">
        <v>528</v>
      </c>
      <c r="B79" s="21">
        <v>3</v>
      </c>
      <c r="C79" s="21"/>
    </row>
    <row r="80" spans="1:3" x14ac:dyDescent="0.25">
      <c r="A80" s="7" t="s">
        <v>530</v>
      </c>
      <c r="B80" s="36">
        <f>AVERAGE(B81:B83)</f>
        <v>2.6666666666666665</v>
      </c>
      <c r="C80" s="22" t="s">
        <v>499</v>
      </c>
    </row>
    <row r="81" spans="1:3" x14ac:dyDescent="0.25">
      <c r="A81" s="6" t="s">
        <v>531</v>
      </c>
      <c r="B81" s="21">
        <v>4</v>
      </c>
      <c r="C81" s="21"/>
    </row>
    <row r="82" spans="1:3" x14ac:dyDescent="0.25">
      <c r="A82" s="6" t="s">
        <v>533</v>
      </c>
      <c r="B82" s="21">
        <v>2</v>
      </c>
      <c r="C82" s="21"/>
    </row>
    <row r="83" spans="1:3" x14ac:dyDescent="0.25">
      <c r="A83" s="6" t="s">
        <v>536</v>
      </c>
      <c r="B83" s="21">
        <v>2</v>
      </c>
      <c r="C83" s="21"/>
    </row>
    <row r="84" spans="1:3" x14ac:dyDescent="0.25">
      <c r="A84" s="7" t="s">
        <v>539</v>
      </c>
      <c r="B84" s="22">
        <f>AVERAGE(B85:B88)</f>
        <v>2.5</v>
      </c>
      <c r="C84" s="22" t="s">
        <v>499</v>
      </c>
    </row>
    <row r="85" spans="1:3" x14ac:dyDescent="0.25">
      <c r="A85" s="6" t="s">
        <v>541</v>
      </c>
      <c r="B85" s="21">
        <v>4</v>
      </c>
      <c r="C85" s="21"/>
    </row>
    <row r="86" spans="1:3" x14ac:dyDescent="0.25">
      <c r="A86" s="6" t="s">
        <v>544</v>
      </c>
      <c r="B86" s="21">
        <v>3</v>
      </c>
      <c r="C86" s="21"/>
    </row>
    <row r="87" spans="1:3" x14ac:dyDescent="0.25">
      <c r="A87" s="6" t="s">
        <v>547</v>
      </c>
      <c r="B87" s="21">
        <v>2</v>
      </c>
      <c r="C87" s="21"/>
    </row>
    <row r="88" spans="1:3" x14ac:dyDescent="0.25">
      <c r="A88" s="25" t="s">
        <v>550</v>
      </c>
      <c r="B88" s="37">
        <v>1</v>
      </c>
      <c r="C88" s="37"/>
    </row>
    <row r="89" spans="1:3" x14ac:dyDescent="0.25">
      <c r="A89" s="6"/>
      <c r="B89" s="21"/>
      <c r="C89" s="21"/>
    </row>
    <row r="91" spans="1:3" x14ac:dyDescent="0.25">
      <c r="A91" t="s">
        <v>554</v>
      </c>
    </row>
    <row r="92" spans="1:3" x14ac:dyDescent="0.25">
      <c r="A92" s="39" t="s">
        <v>555</v>
      </c>
    </row>
    <row r="93" spans="1:3" x14ac:dyDescent="0.25">
      <c r="A93" s="40" t="s">
        <v>556</v>
      </c>
    </row>
    <row r="94" spans="1:3" x14ac:dyDescent="0.25">
      <c r="A94" s="41" t="s">
        <v>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34E1-DBB8-490D-9846-AEAEF21EB152}">
  <sheetPr>
    <tabColor theme="4" tint="0.79998168889431442"/>
  </sheetPr>
  <dimension ref="A1:N123"/>
  <sheetViews>
    <sheetView topLeftCell="B1" zoomScale="99" zoomScaleNormal="85" workbookViewId="0">
      <selection activeCell="C7" sqref="C7"/>
    </sheetView>
  </sheetViews>
  <sheetFormatPr defaultColWidth="10.75" defaultRowHeight="12.75" x14ac:dyDescent="0.2"/>
  <cols>
    <col min="1" max="1" width="100.375" style="6" bestFit="1" customWidth="1"/>
    <col min="2" max="2" width="14.25" style="6" bestFit="1" customWidth="1"/>
    <col min="3" max="3" width="100.375" style="6" bestFit="1" customWidth="1"/>
    <col min="4" max="4" width="95.625" style="6" bestFit="1" customWidth="1"/>
    <col min="5" max="5" width="27.5" style="6" bestFit="1" customWidth="1"/>
    <col min="6" max="6" width="18.375" style="6" bestFit="1" customWidth="1"/>
    <col min="7" max="7" width="17.5" style="6" bestFit="1" customWidth="1"/>
    <col min="8" max="8" width="10.375" style="6" bestFit="1" customWidth="1"/>
    <col min="9" max="9" width="23.25" style="21" bestFit="1" customWidth="1"/>
    <col min="10" max="10" width="17.5" style="6" customWidth="1"/>
    <col min="11" max="11" width="19.75" style="6" customWidth="1"/>
    <col min="12" max="12" width="44.125" style="6" bestFit="1" customWidth="1"/>
    <col min="13" max="13" width="10.75" style="6"/>
    <col min="14" max="14" width="23.5" style="21" bestFit="1" customWidth="1"/>
    <col min="15" max="16384" width="10.75" style="6"/>
  </cols>
  <sheetData>
    <row r="1" spans="1:14" x14ac:dyDescent="0.2">
      <c r="A1" s="3" t="s">
        <v>367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5" t="s">
        <v>44</v>
      </c>
      <c r="J1" s="47" t="s">
        <v>45</v>
      </c>
      <c r="K1" s="47"/>
      <c r="L1" s="5" t="s">
        <v>46</v>
      </c>
      <c r="N1" s="5" t="s">
        <v>558</v>
      </c>
    </row>
    <row r="2" spans="1:14" s="8" customFormat="1" x14ac:dyDescent="0.2">
      <c r="A2" s="7" t="s">
        <v>559</v>
      </c>
      <c r="C2" s="7"/>
      <c r="I2" s="22">
        <f>AVERAGE(I3,I4,I5,I6,I7)</f>
        <v>1.4</v>
      </c>
      <c r="N2" s="22">
        <f>AVERAGE(N3,N4,N5,N6,N7)</f>
        <v>1.6</v>
      </c>
    </row>
    <row r="3" spans="1:14" x14ac:dyDescent="0.2">
      <c r="A3" s="6" t="s">
        <v>968</v>
      </c>
      <c r="C3" s="6" t="s">
        <v>968</v>
      </c>
      <c r="D3" s="6" t="s">
        <v>560</v>
      </c>
      <c r="E3" s="6" t="s">
        <v>51</v>
      </c>
      <c r="F3" s="6" t="s">
        <v>66</v>
      </c>
      <c r="G3" s="6" t="s">
        <v>53</v>
      </c>
      <c r="H3" s="6" t="s">
        <v>370</v>
      </c>
      <c r="I3" s="10">
        <v>1</v>
      </c>
      <c r="J3" s="6" t="s">
        <v>370</v>
      </c>
      <c r="L3" s="6" t="s">
        <v>1002</v>
      </c>
      <c r="N3" s="21">
        <v>2</v>
      </c>
    </row>
    <row r="4" spans="1:14" x14ac:dyDescent="0.2">
      <c r="A4" s="6" t="s">
        <v>561</v>
      </c>
      <c r="C4" s="6" t="s">
        <v>561</v>
      </c>
      <c r="D4" s="6" t="s">
        <v>562</v>
      </c>
      <c r="E4" s="6" t="s">
        <v>51</v>
      </c>
      <c r="F4" s="6" t="s">
        <v>52</v>
      </c>
      <c r="G4" s="6" t="s">
        <v>53</v>
      </c>
      <c r="H4" s="6" t="s">
        <v>370</v>
      </c>
      <c r="I4" s="10">
        <v>2</v>
      </c>
      <c r="J4" s="6" t="s">
        <v>370</v>
      </c>
      <c r="L4" s="6" t="s">
        <v>563</v>
      </c>
      <c r="N4" s="21">
        <v>2</v>
      </c>
    </row>
    <row r="5" spans="1:14" x14ac:dyDescent="0.2">
      <c r="A5" s="6" t="s">
        <v>943</v>
      </c>
      <c r="C5" s="6" t="s">
        <v>943</v>
      </c>
      <c r="D5" s="6" t="s">
        <v>1003</v>
      </c>
      <c r="E5" s="6" t="s">
        <v>51</v>
      </c>
      <c r="F5" s="6" t="s">
        <v>66</v>
      </c>
      <c r="G5" s="6" t="s">
        <v>53</v>
      </c>
      <c r="H5" s="6" t="s">
        <v>370</v>
      </c>
      <c r="I5" s="10">
        <v>1</v>
      </c>
      <c r="J5" s="6" t="s">
        <v>370</v>
      </c>
      <c r="L5" s="6" t="s">
        <v>564</v>
      </c>
      <c r="N5" s="21">
        <v>1</v>
      </c>
    </row>
    <row r="6" spans="1:14" x14ac:dyDescent="0.2">
      <c r="A6" s="6" t="s">
        <v>944</v>
      </c>
      <c r="C6" s="6" t="s">
        <v>944</v>
      </c>
      <c r="E6" s="6" t="s">
        <v>51</v>
      </c>
      <c r="F6" s="6" t="s">
        <v>66</v>
      </c>
      <c r="G6" s="6" t="s">
        <v>53</v>
      </c>
      <c r="H6" s="6" t="s">
        <v>370</v>
      </c>
      <c r="I6" s="10">
        <v>1</v>
      </c>
      <c r="J6" s="6" t="s">
        <v>370</v>
      </c>
      <c r="L6" s="6" t="s">
        <v>565</v>
      </c>
      <c r="N6" s="21">
        <v>1</v>
      </c>
    </row>
    <row r="7" spans="1:14" x14ac:dyDescent="0.2">
      <c r="A7" s="6" t="s">
        <v>566</v>
      </c>
      <c r="C7" s="6" t="s">
        <v>566</v>
      </c>
      <c r="D7" s="6" t="s">
        <v>567</v>
      </c>
      <c r="E7" s="6" t="s">
        <v>51</v>
      </c>
      <c r="F7" s="6" t="s">
        <v>66</v>
      </c>
      <c r="G7" s="6" t="s">
        <v>53</v>
      </c>
      <c r="H7" s="6" t="s">
        <v>370</v>
      </c>
      <c r="I7" s="10">
        <v>2</v>
      </c>
      <c r="J7" s="6" t="s">
        <v>370</v>
      </c>
      <c r="L7" s="6" t="s">
        <v>568</v>
      </c>
      <c r="N7" s="21">
        <v>2</v>
      </c>
    </row>
    <row r="8" spans="1:14" s="8" customFormat="1" x14ac:dyDescent="0.2">
      <c r="A8" s="7" t="s">
        <v>569</v>
      </c>
      <c r="C8" s="7"/>
      <c r="I8" s="22">
        <f>AVERAGE(I9,I10,I11,I12,I13)</f>
        <v>1.6</v>
      </c>
      <c r="N8" s="22">
        <f>AVERAGE(N9,N10,N11,N12,N13)</f>
        <v>2.4</v>
      </c>
    </row>
    <row r="9" spans="1:14" x14ac:dyDescent="0.2">
      <c r="A9" s="6" t="s">
        <v>570</v>
      </c>
      <c r="C9" s="6" t="s">
        <v>570</v>
      </c>
      <c r="D9" s="6" t="s">
        <v>562</v>
      </c>
      <c r="E9" s="6" t="s">
        <v>51</v>
      </c>
      <c r="F9" s="6" t="s">
        <v>66</v>
      </c>
      <c r="G9" s="6" t="s">
        <v>53</v>
      </c>
      <c r="H9" s="6" t="s">
        <v>370</v>
      </c>
      <c r="I9" s="10">
        <v>2</v>
      </c>
      <c r="J9" s="6" t="s">
        <v>370</v>
      </c>
      <c r="L9" s="6" t="s">
        <v>571</v>
      </c>
      <c r="N9" s="21">
        <v>2</v>
      </c>
    </row>
    <row r="10" spans="1:14" x14ac:dyDescent="0.2">
      <c r="A10" s="6" t="s">
        <v>572</v>
      </c>
      <c r="C10" s="6" t="s">
        <v>572</v>
      </c>
      <c r="D10" s="6" t="s">
        <v>573</v>
      </c>
      <c r="E10" s="6" t="s">
        <v>51</v>
      </c>
      <c r="F10" s="6" t="s">
        <v>52</v>
      </c>
      <c r="G10" s="6" t="s">
        <v>53</v>
      </c>
      <c r="H10" s="6" t="s">
        <v>370</v>
      </c>
      <c r="I10" s="10">
        <v>1</v>
      </c>
      <c r="J10" s="6" t="s">
        <v>370</v>
      </c>
      <c r="L10" s="6" t="s">
        <v>574</v>
      </c>
      <c r="N10" s="21">
        <v>3</v>
      </c>
    </row>
    <row r="11" spans="1:14" x14ac:dyDescent="0.2">
      <c r="A11" s="6" t="s">
        <v>575</v>
      </c>
      <c r="C11" s="6" t="s">
        <v>575</v>
      </c>
      <c r="D11" s="6" t="s">
        <v>576</v>
      </c>
      <c r="E11" s="6" t="s">
        <v>51</v>
      </c>
      <c r="F11" s="6" t="s">
        <v>52</v>
      </c>
      <c r="G11" s="6" t="s">
        <v>53</v>
      </c>
      <c r="H11" s="6" t="s">
        <v>370</v>
      </c>
      <c r="I11" s="10">
        <v>2</v>
      </c>
      <c r="J11" s="6" t="s">
        <v>370</v>
      </c>
      <c r="L11" s="6" t="s">
        <v>577</v>
      </c>
      <c r="N11" s="21">
        <v>3</v>
      </c>
    </row>
    <row r="12" spans="1:14" x14ac:dyDescent="0.2">
      <c r="A12" s="6" t="s">
        <v>578</v>
      </c>
      <c r="C12" s="6" t="s">
        <v>578</v>
      </c>
      <c r="D12" s="6" t="s">
        <v>579</v>
      </c>
      <c r="E12" s="6" t="s">
        <v>51</v>
      </c>
      <c r="F12" s="6" t="s">
        <v>66</v>
      </c>
      <c r="G12" s="6" t="s">
        <v>53</v>
      </c>
      <c r="H12" s="6" t="s">
        <v>370</v>
      </c>
      <c r="I12" s="10">
        <v>2</v>
      </c>
      <c r="J12" s="6" t="s">
        <v>370</v>
      </c>
      <c r="L12" s="6" t="s">
        <v>580</v>
      </c>
      <c r="N12" s="21">
        <v>2</v>
      </c>
    </row>
    <row r="13" spans="1:14" x14ac:dyDescent="0.2">
      <c r="A13" s="6" t="s">
        <v>581</v>
      </c>
      <c r="C13" s="6" t="s">
        <v>581</v>
      </c>
      <c r="E13" s="6" t="s">
        <v>51</v>
      </c>
      <c r="F13" s="6" t="s">
        <v>66</v>
      </c>
      <c r="G13" s="6" t="s">
        <v>53</v>
      </c>
      <c r="H13" s="6" t="s">
        <v>370</v>
      </c>
      <c r="I13" s="10">
        <v>1</v>
      </c>
      <c r="J13" s="6" t="s">
        <v>370</v>
      </c>
      <c r="L13" s="6" t="s">
        <v>582</v>
      </c>
      <c r="N13" s="21">
        <v>2</v>
      </c>
    </row>
    <row r="14" spans="1:14" s="8" customFormat="1" x14ac:dyDescent="0.2">
      <c r="A14" s="7" t="s">
        <v>583</v>
      </c>
      <c r="C14" s="7"/>
      <c r="I14" s="22">
        <f>AVERAGE(I15,I16,I17,I18,I19)</f>
        <v>2</v>
      </c>
      <c r="N14" s="22">
        <f>AVERAGE(N15,N16,N17,N18,N19)</f>
        <v>2.2000000000000002</v>
      </c>
    </row>
    <row r="15" spans="1:14" x14ac:dyDescent="0.2">
      <c r="A15" s="6" t="s">
        <v>584</v>
      </c>
      <c r="C15" s="6" t="s">
        <v>584</v>
      </c>
      <c r="E15" s="6" t="s">
        <v>51</v>
      </c>
      <c r="F15" s="6" t="s">
        <v>52</v>
      </c>
      <c r="G15" s="6" t="s">
        <v>53</v>
      </c>
      <c r="H15" s="6" t="s">
        <v>370</v>
      </c>
      <c r="I15" s="10">
        <v>1</v>
      </c>
      <c r="J15" s="6" t="s">
        <v>370</v>
      </c>
      <c r="L15" s="6" t="s">
        <v>585</v>
      </c>
      <c r="N15" s="21">
        <v>1</v>
      </c>
    </row>
    <row r="16" spans="1:14" x14ac:dyDescent="0.2">
      <c r="A16" s="6" t="s">
        <v>586</v>
      </c>
      <c r="C16" s="6" t="s">
        <v>586</v>
      </c>
      <c r="D16" s="6" t="s">
        <v>587</v>
      </c>
      <c r="E16" s="6" t="s">
        <v>51</v>
      </c>
      <c r="F16" s="6" t="s">
        <v>66</v>
      </c>
      <c r="G16" s="6" t="s">
        <v>53</v>
      </c>
      <c r="H16" s="6" t="s">
        <v>370</v>
      </c>
      <c r="I16" s="10">
        <v>2</v>
      </c>
      <c r="J16" s="6" t="s">
        <v>370</v>
      </c>
      <c r="L16" s="6" t="s">
        <v>588</v>
      </c>
      <c r="N16" s="21">
        <v>2</v>
      </c>
    </row>
    <row r="17" spans="1:14" x14ac:dyDescent="0.2">
      <c r="A17" s="6" t="s">
        <v>589</v>
      </c>
      <c r="C17" s="6" t="s">
        <v>589</v>
      </c>
      <c r="E17" s="6" t="s">
        <v>51</v>
      </c>
      <c r="F17" s="6" t="s">
        <v>66</v>
      </c>
      <c r="G17" s="6" t="s">
        <v>53</v>
      </c>
      <c r="H17" s="6" t="s">
        <v>370</v>
      </c>
      <c r="I17" s="10">
        <v>2</v>
      </c>
      <c r="J17" s="6" t="s">
        <v>370</v>
      </c>
      <c r="L17" s="6" t="s">
        <v>590</v>
      </c>
      <c r="N17" s="21">
        <v>3</v>
      </c>
    </row>
    <row r="18" spans="1:14" x14ac:dyDescent="0.2">
      <c r="A18" s="6" t="s">
        <v>591</v>
      </c>
      <c r="C18" s="6" t="s">
        <v>591</v>
      </c>
      <c r="D18" s="6" t="s">
        <v>592</v>
      </c>
      <c r="E18" s="6" t="s">
        <v>51</v>
      </c>
      <c r="F18" s="6" t="s">
        <v>66</v>
      </c>
      <c r="G18" s="6" t="s">
        <v>53</v>
      </c>
      <c r="H18" s="6" t="s">
        <v>370</v>
      </c>
      <c r="I18" s="10">
        <v>2</v>
      </c>
      <c r="J18" s="6" t="s">
        <v>370</v>
      </c>
      <c r="L18" s="6" t="s">
        <v>593</v>
      </c>
      <c r="N18" s="21">
        <v>3</v>
      </c>
    </row>
    <row r="19" spans="1:14" x14ac:dyDescent="0.2">
      <c r="A19" s="6" t="s">
        <v>594</v>
      </c>
      <c r="C19" s="6" t="s">
        <v>594</v>
      </c>
      <c r="E19" s="6" t="s">
        <v>51</v>
      </c>
      <c r="F19" s="6" t="s">
        <v>66</v>
      </c>
      <c r="G19" s="6" t="s">
        <v>53</v>
      </c>
      <c r="H19" s="6" t="s">
        <v>370</v>
      </c>
      <c r="I19" s="10">
        <v>3</v>
      </c>
      <c r="J19" s="6" t="s">
        <v>370</v>
      </c>
      <c r="L19" s="6" t="s">
        <v>595</v>
      </c>
      <c r="N19" s="21">
        <v>2</v>
      </c>
    </row>
    <row r="20" spans="1:14" s="8" customFormat="1" x14ac:dyDescent="0.2">
      <c r="A20" s="7" t="s">
        <v>596</v>
      </c>
      <c r="C20" s="7"/>
      <c r="I20" s="22">
        <f>AVERAGE(I21,I22,I23,I24,I25)</f>
        <v>1.4</v>
      </c>
      <c r="N20" s="22">
        <f>AVERAGE(N21,N22,N23,N24,N25)</f>
        <v>1.8</v>
      </c>
    </row>
    <row r="21" spans="1:14" x14ac:dyDescent="0.2">
      <c r="A21" s="6" t="s">
        <v>597</v>
      </c>
      <c r="C21" s="6" t="s">
        <v>597</v>
      </c>
      <c r="D21" s="6" t="s">
        <v>598</v>
      </c>
      <c r="E21" s="6" t="s">
        <v>51</v>
      </c>
      <c r="F21" s="6" t="s">
        <v>52</v>
      </c>
      <c r="G21" s="6" t="s">
        <v>53</v>
      </c>
      <c r="H21" s="6" t="s">
        <v>370</v>
      </c>
      <c r="I21" s="10">
        <v>1</v>
      </c>
      <c r="J21" s="6" t="s">
        <v>370</v>
      </c>
      <c r="L21" s="6" t="s">
        <v>390</v>
      </c>
      <c r="N21" s="21">
        <v>1</v>
      </c>
    </row>
    <row r="22" spans="1:14" x14ac:dyDescent="0.2">
      <c r="A22" s="6" t="s">
        <v>599</v>
      </c>
      <c r="C22" s="6" t="s">
        <v>599</v>
      </c>
      <c r="E22" s="6" t="s">
        <v>51</v>
      </c>
      <c r="F22" s="6" t="s">
        <v>52</v>
      </c>
      <c r="G22" s="6" t="s">
        <v>53</v>
      </c>
      <c r="H22" s="6" t="s">
        <v>370</v>
      </c>
      <c r="I22" s="10">
        <v>1</v>
      </c>
      <c r="J22" s="6" t="s">
        <v>370</v>
      </c>
      <c r="L22" s="6" t="s">
        <v>600</v>
      </c>
      <c r="N22" s="21">
        <v>1</v>
      </c>
    </row>
    <row r="23" spans="1:14" x14ac:dyDescent="0.2">
      <c r="A23" s="6" t="s">
        <v>601</v>
      </c>
      <c r="C23" s="6" t="s">
        <v>601</v>
      </c>
      <c r="D23" s="6" t="s">
        <v>602</v>
      </c>
      <c r="E23" s="6" t="s">
        <v>51</v>
      </c>
      <c r="F23" s="6" t="s">
        <v>66</v>
      </c>
      <c r="G23" s="6" t="s">
        <v>53</v>
      </c>
      <c r="H23" s="6" t="s">
        <v>370</v>
      </c>
      <c r="I23" s="10">
        <v>1</v>
      </c>
      <c r="J23" s="6" t="s">
        <v>370</v>
      </c>
      <c r="L23" s="6" t="s">
        <v>603</v>
      </c>
      <c r="N23" s="21">
        <v>2</v>
      </c>
    </row>
    <row r="24" spans="1:14" x14ac:dyDescent="0.2">
      <c r="A24" s="6" t="s">
        <v>604</v>
      </c>
      <c r="C24" s="6" t="s">
        <v>604</v>
      </c>
      <c r="D24" s="6" t="s">
        <v>605</v>
      </c>
      <c r="E24" s="6" t="s">
        <v>51</v>
      </c>
      <c r="F24" s="6" t="s">
        <v>66</v>
      </c>
      <c r="G24" s="6" t="s">
        <v>53</v>
      </c>
      <c r="H24" s="6" t="s">
        <v>370</v>
      </c>
      <c r="I24" s="10">
        <v>2</v>
      </c>
      <c r="J24" s="6" t="s">
        <v>370</v>
      </c>
      <c r="L24" s="6" t="s">
        <v>606</v>
      </c>
      <c r="N24" s="21">
        <v>3</v>
      </c>
    </row>
    <row r="25" spans="1:14" x14ac:dyDescent="0.2">
      <c r="A25" s="6" t="s">
        <v>607</v>
      </c>
      <c r="C25" s="6" t="s">
        <v>607</v>
      </c>
      <c r="E25" s="6" t="s">
        <v>51</v>
      </c>
      <c r="F25" s="6" t="s">
        <v>66</v>
      </c>
      <c r="G25" s="6" t="s">
        <v>53</v>
      </c>
      <c r="H25" s="6" t="s">
        <v>499</v>
      </c>
      <c r="I25" s="10">
        <v>2</v>
      </c>
      <c r="J25" s="6" t="s">
        <v>370</v>
      </c>
      <c r="L25" s="6" t="s">
        <v>608</v>
      </c>
      <c r="N25" s="21">
        <v>2</v>
      </c>
    </row>
    <row r="26" spans="1:14" s="8" customFormat="1" x14ac:dyDescent="0.2">
      <c r="A26" s="7" t="s">
        <v>609</v>
      </c>
      <c r="C26" s="7"/>
      <c r="I26" s="22">
        <f>AVERAGE(I27,I28,I29,I30)</f>
        <v>1.75</v>
      </c>
      <c r="N26" s="22">
        <f>AVERAGE(N27,N28,N29,N30)</f>
        <v>2.25</v>
      </c>
    </row>
    <row r="27" spans="1:14" x14ac:dyDescent="0.2">
      <c r="A27" s="6" t="s">
        <v>610</v>
      </c>
      <c r="C27" s="6" t="s">
        <v>610</v>
      </c>
      <c r="D27" s="6" t="s">
        <v>611</v>
      </c>
      <c r="E27" s="6" t="s">
        <v>51</v>
      </c>
      <c r="F27" s="6" t="s">
        <v>52</v>
      </c>
      <c r="G27" s="6" t="s">
        <v>53</v>
      </c>
      <c r="H27" s="6" t="s">
        <v>370</v>
      </c>
      <c r="I27" s="21">
        <v>2</v>
      </c>
      <c r="J27" s="6" t="s">
        <v>370</v>
      </c>
      <c r="L27" s="6" t="s">
        <v>612</v>
      </c>
      <c r="N27" s="21">
        <v>2</v>
      </c>
    </row>
    <row r="28" spans="1:14" x14ac:dyDescent="0.2">
      <c r="A28" s="6" t="s">
        <v>613</v>
      </c>
      <c r="C28" s="6" t="s">
        <v>613</v>
      </c>
      <c r="E28" s="6" t="s">
        <v>51</v>
      </c>
      <c r="F28" s="6" t="s">
        <v>66</v>
      </c>
      <c r="G28" s="6" t="s">
        <v>53</v>
      </c>
      <c r="H28" s="6" t="s">
        <v>370</v>
      </c>
      <c r="I28" s="21">
        <v>1</v>
      </c>
      <c r="J28" s="6" t="s">
        <v>370</v>
      </c>
      <c r="L28" s="6" t="s">
        <v>614</v>
      </c>
      <c r="N28" s="21">
        <v>1</v>
      </c>
    </row>
    <row r="29" spans="1:14" x14ac:dyDescent="0.2">
      <c r="A29" s="6" t="s">
        <v>615</v>
      </c>
      <c r="C29" s="6" t="s">
        <v>615</v>
      </c>
      <c r="E29" s="6" t="s">
        <v>51</v>
      </c>
      <c r="F29" s="6" t="s">
        <v>66</v>
      </c>
      <c r="G29" s="6" t="s">
        <v>53</v>
      </c>
      <c r="H29" s="6" t="s">
        <v>370</v>
      </c>
      <c r="I29" s="21">
        <v>2</v>
      </c>
      <c r="J29" s="6" t="s">
        <v>370</v>
      </c>
      <c r="L29" s="6" t="s">
        <v>616</v>
      </c>
      <c r="N29" s="21">
        <v>3</v>
      </c>
    </row>
    <row r="30" spans="1:14" x14ac:dyDescent="0.2">
      <c r="A30" s="6" t="s">
        <v>617</v>
      </c>
      <c r="C30" s="6" t="s">
        <v>617</v>
      </c>
      <c r="E30" s="6" t="s">
        <v>51</v>
      </c>
      <c r="F30" s="6" t="s">
        <v>66</v>
      </c>
      <c r="G30" s="6" t="s">
        <v>53</v>
      </c>
      <c r="H30" s="6" t="s">
        <v>370</v>
      </c>
      <c r="I30" s="21">
        <v>2</v>
      </c>
      <c r="J30" s="6" t="s">
        <v>370</v>
      </c>
      <c r="L30" s="6" t="s">
        <v>618</v>
      </c>
      <c r="N30" s="21">
        <v>3</v>
      </c>
    </row>
    <row r="31" spans="1:14" s="8" customFormat="1" x14ac:dyDescent="0.2">
      <c r="A31" s="7" t="s">
        <v>619</v>
      </c>
      <c r="C31" s="7"/>
      <c r="I31" s="22">
        <f>AVERAGE(I32,I33,I34,I35)</f>
        <v>2</v>
      </c>
      <c r="N31" s="22">
        <f>AVERAGE(N32,N33,N34,N35)</f>
        <v>2.25</v>
      </c>
    </row>
    <row r="32" spans="1:14" x14ac:dyDescent="0.2">
      <c r="A32" s="6" t="s">
        <v>620</v>
      </c>
      <c r="C32" s="6" t="s">
        <v>620</v>
      </c>
      <c r="E32" s="6" t="s">
        <v>51</v>
      </c>
      <c r="F32" s="6" t="s">
        <v>66</v>
      </c>
      <c r="G32" s="6" t="s">
        <v>53</v>
      </c>
      <c r="H32" s="6" t="s">
        <v>370</v>
      </c>
      <c r="I32" s="21">
        <v>1</v>
      </c>
      <c r="J32" s="6" t="s">
        <v>370</v>
      </c>
      <c r="L32" s="6" t="s">
        <v>621</v>
      </c>
      <c r="N32" s="21">
        <v>1</v>
      </c>
    </row>
    <row r="33" spans="1:14" x14ac:dyDescent="0.2">
      <c r="A33" s="6" t="s">
        <v>622</v>
      </c>
      <c r="C33" s="6" t="s">
        <v>622</v>
      </c>
      <c r="E33" s="6" t="s">
        <v>51</v>
      </c>
      <c r="F33" s="6" t="s">
        <v>66</v>
      </c>
      <c r="G33" s="6" t="s">
        <v>53</v>
      </c>
      <c r="H33" s="6" t="s">
        <v>370</v>
      </c>
      <c r="I33" s="21">
        <v>2</v>
      </c>
      <c r="J33" s="6" t="s">
        <v>370</v>
      </c>
      <c r="L33" s="6" t="s">
        <v>623</v>
      </c>
      <c r="N33" s="21">
        <v>2</v>
      </c>
    </row>
    <row r="34" spans="1:14" x14ac:dyDescent="0.2">
      <c r="A34" s="6" t="s">
        <v>624</v>
      </c>
      <c r="C34" s="6" t="s">
        <v>624</v>
      </c>
      <c r="D34" s="6" t="s">
        <v>625</v>
      </c>
      <c r="E34" s="6" t="s">
        <v>51</v>
      </c>
      <c r="F34" s="6" t="s">
        <v>66</v>
      </c>
      <c r="G34" s="6" t="s">
        <v>53</v>
      </c>
      <c r="H34" s="6" t="s">
        <v>370</v>
      </c>
      <c r="I34" s="21">
        <v>2</v>
      </c>
      <c r="J34" s="6" t="s">
        <v>370</v>
      </c>
      <c r="L34" s="6" t="s">
        <v>626</v>
      </c>
      <c r="N34" s="21">
        <v>3</v>
      </c>
    </row>
    <row r="35" spans="1:14" x14ac:dyDescent="0.2">
      <c r="A35" s="6" t="s">
        <v>627</v>
      </c>
      <c r="C35" s="6" t="s">
        <v>628</v>
      </c>
      <c r="E35" s="6" t="s">
        <v>51</v>
      </c>
      <c r="F35" s="6" t="s">
        <v>66</v>
      </c>
      <c r="G35" s="6" t="s">
        <v>53</v>
      </c>
      <c r="H35" s="6" t="s">
        <v>370</v>
      </c>
      <c r="I35" s="21">
        <v>3</v>
      </c>
      <c r="J35" s="6" t="s">
        <v>370</v>
      </c>
      <c r="L35" s="6" t="s">
        <v>629</v>
      </c>
      <c r="N35" s="21">
        <v>3</v>
      </c>
    </row>
    <row r="36" spans="1:14" s="8" customFormat="1" x14ac:dyDescent="0.2">
      <c r="A36" s="7" t="s">
        <v>630</v>
      </c>
      <c r="C36" s="7"/>
      <c r="I36" s="22">
        <f>AVERAGE(I37,I38,I39,I40,I41)</f>
        <v>2</v>
      </c>
      <c r="N36" s="22">
        <f>AVERAGE(N37,N38,N39,N40,N41)</f>
        <v>1.8</v>
      </c>
    </row>
    <row r="37" spans="1:14" x14ac:dyDescent="0.2">
      <c r="A37" s="6" t="s">
        <v>631</v>
      </c>
      <c r="C37" s="6" t="s">
        <v>631</v>
      </c>
      <c r="E37" s="6" t="s">
        <v>51</v>
      </c>
      <c r="F37" s="6" t="s">
        <v>66</v>
      </c>
      <c r="G37" s="6" t="s">
        <v>53</v>
      </c>
      <c r="H37" s="6" t="s">
        <v>370</v>
      </c>
      <c r="I37" s="21">
        <v>1</v>
      </c>
      <c r="J37" s="6" t="s">
        <v>370</v>
      </c>
      <c r="L37" s="6" t="s">
        <v>632</v>
      </c>
      <c r="N37" s="21">
        <v>1</v>
      </c>
    </row>
    <row r="38" spans="1:14" x14ac:dyDescent="0.2">
      <c r="A38" s="6" t="s">
        <v>633</v>
      </c>
      <c r="C38" s="6" t="s">
        <v>633</v>
      </c>
      <c r="E38" s="6" t="s">
        <v>51</v>
      </c>
      <c r="F38" s="6" t="s">
        <v>66</v>
      </c>
      <c r="G38" s="6" t="s">
        <v>53</v>
      </c>
      <c r="H38" s="6" t="s">
        <v>370</v>
      </c>
      <c r="I38" s="21">
        <v>2</v>
      </c>
      <c r="J38" s="6" t="s">
        <v>370</v>
      </c>
      <c r="L38" s="6" t="s">
        <v>634</v>
      </c>
      <c r="N38" s="21">
        <v>2</v>
      </c>
    </row>
    <row r="39" spans="1:14" x14ac:dyDescent="0.2">
      <c r="A39" s="6" t="s">
        <v>635</v>
      </c>
      <c r="C39" s="6" t="s">
        <v>635</v>
      </c>
      <c r="D39" s="6" t="s">
        <v>636</v>
      </c>
      <c r="E39" s="6" t="s">
        <v>51</v>
      </c>
      <c r="F39" s="6" t="s">
        <v>66</v>
      </c>
      <c r="G39" s="6" t="s">
        <v>53</v>
      </c>
      <c r="H39" s="6" t="s">
        <v>370</v>
      </c>
      <c r="I39" s="21">
        <v>2</v>
      </c>
      <c r="J39" s="6" t="s">
        <v>370</v>
      </c>
      <c r="L39" s="6" t="s">
        <v>637</v>
      </c>
      <c r="N39" s="21">
        <v>2</v>
      </c>
    </row>
    <row r="40" spans="1:14" x14ac:dyDescent="0.2">
      <c r="A40" s="6" t="s">
        <v>638</v>
      </c>
      <c r="C40" s="6" t="s">
        <v>639</v>
      </c>
      <c r="E40" s="6" t="s">
        <v>51</v>
      </c>
      <c r="F40" s="6" t="s">
        <v>66</v>
      </c>
      <c r="G40" s="6" t="s">
        <v>53</v>
      </c>
      <c r="H40" s="6" t="s">
        <v>370</v>
      </c>
      <c r="I40" s="21">
        <v>2</v>
      </c>
      <c r="J40" s="6" t="s">
        <v>370</v>
      </c>
      <c r="L40" s="6" t="s">
        <v>640</v>
      </c>
      <c r="N40" s="21">
        <v>1</v>
      </c>
    </row>
    <row r="41" spans="1:14" x14ac:dyDescent="0.2">
      <c r="A41" s="6" t="s">
        <v>641</v>
      </c>
      <c r="C41" s="6" t="s">
        <v>641</v>
      </c>
      <c r="D41" s="6" t="s">
        <v>642</v>
      </c>
      <c r="E41" s="6" t="s">
        <v>51</v>
      </c>
      <c r="F41" s="6" t="s">
        <v>66</v>
      </c>
      <c r="G41" s="6" t="s">
        <v>53</v>
      </c>
      <c r="H41" s="6" t="s">
        <v>370</v>
      </c>
      <c r="I41" s="21">
        <v>3</v>
      </c>
      <c r="J41" s="6" t="s">
        <v>370</v>
      </c>
      <c r="L41" s="6" t="s">
        <v>643</v>
      </c>
      <c r="N41" s="21">
        <v>3</v>
      </c>
    </row>
    <row r="42" spans="1:14" s="8" customFormat="1" x14ac:dyDescent="0.2">
      <c r="A42" s="7" t="s">
        <v>644</v>
      </c>
      <c r="C42" s="7"/>
      <c r="I42" s="22">
        <f>AVERAGE(I43,I44,I45,I46)</f>
        <v>1.75</v>
      </c>
      <c r="N42" s="22">
        <f>AVERAGE(N43,N44,N45,N46)</f>
        <v>1.5</v>
      </c>
    </row>
    <row r="43" spans="1:14" x14ac:dyDescent="0.2">
      <c r="A43" s="6" t="s">
        <v>645</v>
      </c>
      <c r="C43" s="6" t="s">
        <v>645</v>
      </c>
      <c r="D43" s="6" t="s">
        <v>646</v>
      </c>
      <c r="E43" s="6" t="s">
        <v>51</v>
      </c>
      <c r="F43" s="6" t="s">
        <v>52</v>
      </c>
      <c r="G43" s="6" t="s">
        <v>53</v>
      </c>
      <c r="H43" s="6" t="s">
        <v>370</v>
      </c>
      <c r="I43" s="21">
        <v>2</v>
      </c>
      <c r="J43" s="6" t="s">
        <v>370</v>
      </c>
      <c r="L43" s="6" t="s">
        <v>647</v>
      </c>
      <c r="N43" s="21">
        <v>2</v>
      </c>
    </row>
    <row r="44" spans="1:14" x14ac:dyDescent="0.2">
      <c r="A44" s="6" t="s">
        <v>648</v>
      </c>
      <c r="C44" s="6" t="s">
        <v>648</v>
      </c>
      <c r="D44" s="6" t="s">
        <v>649</v>
      </c>
      <c r="E44" s="6" t="s">
        <v>51</v>
      </c>
      <c r="F44" s="6" t="s">
        <v>52</v>
      </c>
      <c r="G44" s="6" t="s">
        <v>53</v>
      </c>
      <c r="H44" s="6" t="s">
        <v>370</v>
      </c>
      <c r="I44" s="21">
        <v>2</v>
      </c>
      <c r="J44" s="6" t="s">
        <v>370</v>
      </c>
      <c r="L44" s="6" t="s">
        <v>650</v>
      </c>
      <c r="N44" s="21">
        <v>1</v>
      </c>
    </row>
    <row r="45" spans="1:14" x14ac:dyDescent="0.2">
      <c r="A45" s="6" t="s">
        <v>651</v>
      </c>
      <c r="C45" s="6" t="s">
        <v>651</v>
      </c>
      <c r="E45" s="6" t="s">
        <v>51</v>
      </c>
      <c r="F45" s="6" t="s">
        <v>66</v>
      </c>
      <c r="G45" s="6" t="s">
        <v>53</v>
      </c>
      <c r="H45" s="6" t="s">
        <v>370</v>
      </c>
      <c r="I45" s="21">
        <v>1</v>
      </c>
      <c r="J45" s="6" t="s">
        <v>370</v>
      </c>
      <c r="L45" s="6" t="s">
        <v>652</v>
      </c>
      <c r="N45" s="21">
        <v>1</v>
      </c>
    </row>
    <row r="46" spans="1:14" x14ac:dyDescent="0.2">
      <c r="A46" s="6" t="s">
        <v>653</v>
      </c>
      <c r="C46" s="6" t="s">
        <v>653</v>
      </c>
      <c r="D46" s="6" t="s">
        <v>654</v>
      </c>
      <c r="E46" s="6" t="s">
        <v>51</v>
      </c>
      <c r="F46" s="6" t="s">
        <v>66</v>
      </c>
      <c r="G46" s="6" t="s">
        <v>53</v>
      </c>
      <c r="H46" s="6" t="s">
        <v>370</v>
      </c>
      <c r="I46" s="21">
        <v>2</v>
      </c>
      <c r="J46" s="6" t="s">
        <v>370</v>
      </c>
      <c r="L46" s="6" t="s">
        <v>655</v>
      </c>
      <c r="N46" s="21">
        <v>2</v>
      </c>
    </row>
    <row r="47" spans="1:14" s="8" customFormat="1" x14ac:dyDescent="0.2">
      <c r="A47" s="7" t="s">
        <v>656</v>
      </c>
      <c r="C47" s="7"/>
      <c r="D47" s="7"/>
      <c r="E47" s="7"/>
      <c r="I47" s="22">
        <f>AVERAGE(I48,I49,I50,I51)</f>
        <v>1.75</v>
      </c>
      <c r="N47" s="22">
        <f>AVERAGE(N48,N49,N50,N51)</f>
        <v>1.5</v>
      </c>
    </row>
    <row r="48" spans="1:14" x14ac:dyDescent="0.2">
      <c r="A48" s="6" t="s">
        <v>657</v>
      </c>
      <c r="C48" s="6" t="s">
        <v>657</v>
      </c>
      <c r="D48" s="6" t="s">
        <v>658</v>
      </c>
      <c r="E48" s="6" t="s">
        <v>51</v>
      </c>
      <c r="F48" s="6" t="s">
        <v>66</v>
      </c>
      <c r="G48" s="6" t="s">
        <v>53</v>
      </c>
      <c r="H48" s="6" t="s">
        <v>370</v>
      </c>
      <c r="I48" s="21">
        <v>1</v>
      </c>
      <c r="J48" s="6" t="s">
        <v>370</v>
      </c>
      <c r="L48" s="6" t="s">
        <v>659</v>
      </c>
      <c r="N48" s="21">
        <v>1</v>
      </c>
    </row>
    <row r="49" spans="1:14" x14ac:dyDescent="0.2">
      <c r="A49" s="6" t="s">
        <v>660</v>
      </c>
      <c r="C49" s="6" t="s">
        <v>660</v>
      </c>
      <c r="E49" s="6" t="s">
        <v>51</v>
      </c>
      <c r="F49" s="6" t="s">
        <v>52</v>
      </c>
      <c r="G49" s="6" t="s">
        <v>53</v>
      </c>
      <c r="H49" s="6" t="s">
        <v>370</v>
      </c>
      <c r="I49" s="21">
        <v>2</v>
      </c>
      <c r="J49" s="6" t="s">
        <v>370</v>
      </c>
      <c r="L49" s="6" t="s">
        <v>661</v>
      </c>
      <c r="N49" s="21">
        <v>2</v>
      </c>
    </row>
    <row r="50" spans="1:14" x14ac:dyDescent="0.2">
      <c r="A50" s="6" t="s">
        <v>662</v>
      </c>
      <c r="C50" s="6" t="s">
        <v>662</v>
      </c>
      <c r="D50" s="6" t="s">
        <v>663</v>
      </c>
      <c r="E50" s="6" t="s">
        <v>51</v>
      </c>
      <c r="F50" s="6" t="s">
        <v>66</v>
      </c>
      <c r="G50" s="6" t="s">
        <v>53</v>
      </c>
      <c r="H50" s="6" t="s">
        <v>370</v>
      </c>
      <c r="I50" s="21">
        <v>2</v>
      </c>
      <c r="J50" s="6" t="s">
        <v>370</v>
      </c>
      <c r="L50" s="6" t="s">
        <v>664</v>
      </c>
      <c r="N50" s="21">
        <v>2</v>
      </c>
    </row>
    <row r="51" spans="1:14" x14ac:dyDescent="0.2">
      <c r="A51" s="6" t="s">
        <v>665</v>
      </c>
      <c r="C51" s="6" t="s">
        <v>665</v>
      </c>
      <c r="E51" s="6" t="s">
        <v>51</v>
      </c>
      <c r="F51" s="6" t="s">
        <v>66</v>
      </c>
      <c r="G51" s="6" t="s">
        <v>53</v>
      </c>
      <c r="H51" s="6" t="s">
        <v>499</v>
      </c>
      <c r="I51" s="21">
        <v>2</v>
      </c>
      <c r="J51" s="6" t="s">
        <v>370</v>
      </c>
      <c r="L51" s="6" t="s">
        <v>666</v>
      </c>
      <c r="N51" s="21">
        <v>1</v>
      </c>
    </row>
    <row r="52" spans="1:14" s="8" customFormat="1" x14ac:dyDescent="0.2">
      <c r="A52" s="7" t="s">
        <v>667</v>
      </c>
      <c r="C52" s="7"/>
      <c r="I52" s="22">
        <f>AVERAGE(I53,I54,I55,I56)</f>
        <v>2</v>
      </c>
      <c r="N52" s="22">
        <f>AVERAGE(N53,N54,N55,N56)</f>
        <v>2.25</v>
      </c>
    </row>
    <row r="53" spans="1:14" x14ac:dyDescent="0.2">
      <c r="A53" s="6" t="s">
        <v>668</v>
      </c>
      <c r="C53" s="6" t="s">
        <v>668</v>
      </c>
      <c r="E53" s="6" t="s">
        <v>51</v>
      </c>
      <c r="F53" s="6" t="s">
        <v>66</v>
      </c>
      <c r="G53" s="6" t="s">
        <v>53</v>
      </c>
      <c r="H53" s="6" t="s">
        <v>370</v>
      </c>
      <c r="I53" s="21">
        <v>2</v>
      </c>
      <c r="J53" s="6" t="s">
        <v>370</v>
      </c>
      <c r="L53" s="6" t="s">
        <v>669</v>
      </c>
      <c r="N53" s="21">
        <v>2</v>
      </c>
    </row>
    <row r="54" spans="1:14" x14ac:dyDescent="0.2">
      <c r="A54" s="6" t="s">
        <v>670</v>
      </c>
      <c r="C54" s="6" t="s">
        <v>670</v>
      </c>
      <c r="E54" s="6" t="s">
        <v>51</v>
      </c>
      <c r="F54" s="6" t="s">
        <v>52</v>
      </c>
      <c r="G54" s="6" t="s">
        <v>53</v>
      </c>
      <c r="H54" s="6" t="s">
        <v>370</v>
      </c>
      <c r="I54" s="21">
        <v>2</v>
      </c>
      <c r="J54" s="6" t="s">
        <v>370</v>
      </c>
      <c r="L54" s="6" t="s">
        <v>671</v>
      </c>
      <c r="N54" s="21">
        <v>2</v>
      </c>
    </row>
    <row r="55" spans="1:14" x14ac:dyDescent="0.2">
      <c r="A55" s="6" t="s">
        <v>672</v>
      </c>
      <c r="C55" s="6" t="s">
        <v>672</v>
      </c>
      <c r="D55" s="6" t="s">
        <v>673</v>
      </c>
      <c r="E55" s="6" t="s">
        <v>51</v>
      </c>
      <c r="F55" s="6" t="s">
        <v>66</v>
      </c>
      <c r="G55" s="6" t="s">
        <v>53</v>
      </c>
      <c r="H55" s="6" t="s">
        <v>370</v>
      </c>
      <c r="I55" s="21">
        <v>2</v>
      </c>
      <c r="J55" s="6" t="s">
        <v>370</v>
      </c>
      <c r="L55" s="6" t="s">
        <v>674</v>
      </c>
      <c r="N55" s="21">
        <v>3</v>
      </c>
    </row>
    <row r="56" spans="1:14" x14ac:dyDescent="0.2">
      <c r="A56" s="6" t="s">
        <v>675</v>
      </c>
      <c r="C56" s="6" t="s">
        <v>675</v>
      </c>
      <c r="E56" s="6" t="s">
        <v>51</v>
      </c>
      <c r="F56" s="6" t="s">
        <v>66</v>
      </c>
      <c r="G56" s="6" t="s">
        <v>53</v>
      </c>
      <c r="H56" s="6" t="s">
        <v>370</v>
      </c>
      <c r="I56" s="21">
        <v>2</v>
      </c>
      <c r="J56" s="6" t="s">
        <v>370</v>
      </c>
      <c r="L56" s="6" t="s">
        <v>676</v>
      </c>
      <c r="N56" s="21">
        <v>2</v>
      </c>
    </row>
    <row r="57" spans="1:14" s="8" customFormat="1" x14ac:dyDescent="0.2">
      <c r="A57" s="7" t="s">
        <v>677</v>
      </c>
      <c r="C57" s="7"/>
      <c r="I57" s="22">
        <f>AVERAGE(I58,I59,I60,I61)</f>
        <v>1.75</v>
      </c>
      <c r="N57" s="22">
        <f>AVERAGE(N58,N59,N60,N61)</f>
        <v>1.75</v>
      </c>
    </row>
    <row r="58" spans="1:14" x14ac:dyDescent="0.2">
      <c r="A58" s="6" t="s">
        <v>678</v>
      </c>
      <c r="C58" s="6" t="s">
        <v>678</v>
      </c>
      <c r="E58" s="6" t="s">
        <v>51</v>
      </c>
      <c r="F58" s="6" t="s">
        <v>66</v>
      </c>
      <c r="G58" s="6" t="s">
        <v>53</v>
      </c>
      <c r="H58" s="6" t="s">
        <v>370</v>
      </c>
      <c r="I58" s="21">
        <v>1</v>
      </c>
      <c r="J58" s="6" t="s">
        <v>370</v>
      </c>
      <c r="L58" s="6" t="s">
        <v>679</v>
      </c>
      <c r="N58" s="21">
        <v>1</v>
      </c>
    </row>
    <row r="59" spans="1:14" x14ac:dyDescent="0.2">
      <c r="A59" s="6" t="s">
        <v>680</v>
      </c>
      <c r="C59" s="6" t="s">
        <v>680</v>
      </c>
      <c r="D59" s="6" t="s">
        <v>681</v>
      </c>
      <c r="E59" s="6" t="s">
        <v>51</v>
      </c>
      <c r="F59" s="6" t="s">
        <v>52</v>
      </c>
      <c r="G59" s="6" t="s">
        <v>53</v>
      </c>
      <c r="H59" s="6" t="s">
        <v>370</v>
      </c>
      <c r="I59" s="21">
        <v>2</v>
      </c>
      <c r="J59" s="6" t="s">
        <v>370</v>
      </c>
      <c r="L59" s="6" t="s">
        <v>682</v>
      </c>
      <c r="N59" s="21">
        <v>2</v>
      </c>
    </row>
    <row r="60" spans="1:14" x14ac:dyDescent="0.2">
      <c r="A60" s="6" t="s">
        <v>683</v>
      </c>
      <c r="C60" s="6" t="s">
        <v>683</v>
      </c>
      <c r="E60" s="6" t="s">
        <v>51</v>
      </c>
      <c r="F60" s="6" t="s">
        <v>52</v>
      </c>
      <c r="G60" s="6" t="s">
        <v>53</v>
      </c>
      <c r="H60" s="6" t="s">
        <v>370</v>
      </c>
      <c r="I60" s="21">
        <v>2</v>
      </c>
      <c r="J60" s="6" t="s">
        <v>370</v>
      </c>
      <c r="L60" s="6" t="s">
        <v>684</v>
      </c>
      <c r="N60" s="21">
        <v>3</v>
      </c>
    </row>
    <row r="61" spans="1:14" x14ac:dyDescent="0.2">
      <c r="A61" s="6" t="s">
        <v>685</v>
      </c>
      <c r="C61" s="6" t="s">
        <v>685</v>
      </c>
      <c r="E61" s="6" t="s">
        <v>51</v>
      </c>
      <c r="F61" s="6" t="s">
        <v>66</v>
      </c>
      <c r="G61" s="6" t="s">
        <v>53</v>
      </c>
      <c r="H61" s="6" t="s">
        <v>499</v>
      </c>
      <c r="I61" s="21">
        <v>2</v>
      </c>
      <c r="J61" s="6" t="s">
        <v>370</v>
      </c>
      <c r="L61" s="6" t="s">
        <v>686</v>
      </c>
      <c r="N61" s="21">
        <v>1</v>
      </c>
    </row>
    <row r="62" spans="1:14" s="8" customFormat="1" x14ac:dyDescent="0.2">
      <c r="A62" s="7" t="s">
        <v>687</v>
      </c>
      <c r="C62" s="7"/>
      <c r="I62" s="22">
        <f>AVERAGE(I63:I65)</f>
        <v>1.6666666666666667</v>
      </c>
      <c r="N62" s="22">
        <f>AVERAGE(N63:N65)</f>
        <v>1.6666666666666667</v>
      </c>
    </row>
    <row r="63" spans="1:14" x14ac:dyDescent="0.2">
      <c r="A63" s="6" t="s">
        <v>688</v>
      </c>
      <c r="C63" s="6" t="s">
        <v>688</v>
      </c>
      <c r="E63" s="6" t="s">
        <v>51</v>
      </c>
      <c r="F63" s="6" t="s">
        <v>66</v>
      </c>
      <c r="G63" s="6" t="s">
        <v>53</v>
      </c>
      <c r="H63" s="6" t="s">
        <v>370</v>
      </c>
      <c r="I63" s="21">
        <v>1</v>
      </c>
      <c r="J63" s="6" t="s">
        <v>370</v>
      </c>
      <c r="L63" s="6" t="s">
        <v>689</v>
      </c>
      <c r="N63" s="21">
        <v>1</v>
      </c>
    </row>
    <row r="64" spans="1:14" x14ac:dyDescent="0.2">
      <c r="A64" s="6" t="s">
        <v>690</v>
      </c>
      <c r="C64" s="6" t="s">
        <v>690</v>
      </c>
      <c r="D64" s="6" t="s">
        <v>691</v>
      </c>
      <c r="E64" s="6" t="s">
        <v>51</v>
      </c>
      <c r="F64" s="6" t="s">
        <v>66</v>
      </c>
      <c r="G64" s="6" t="s">
        <v>53</v>
      </c>
      <c r="H64" s="6" t="s">
        <v>370</v>
      </c>
      <c r="I64" s="21">
        <v>2</v>
      </c>
      <c r="J64" s="6" t="s">
        <v>370</v>
      </c>
      <c r="L64" s="6" t="s">
        <v>692</v>
      </c>
      <c r="N64" s="21">
        <v>2</v>
      </c>
    </row>
    <row r="65" spans="1:14" x14ac:dyDescent="0.2">
      <c r="A65" s="6" t="s">
        <v>693</v>
      </c>
      <c r="C65" s="6" t="s">
        <v>693</v>
      </c>
      <c r="E65" s="6" t="s">
        <v>51</v>
      </c>
      <c r="F65" s="6" t="s">
        <v>66</v>
      </c>
      <c r="G65" s="6" t="s">
        <v>53</v>
      </c>
      <c r="H65" s="6" t="s">
        <v>370</v>
      </c>
      <c r="I65" s="21">
        <v>2</v>
      </c>
      <c r="J65" s="6" t="s">
        <v>370</v>
      </c>
      <c r="L65" s="6" t="s">
        <v>595</v>
      </c>
      <c r="N65" s="21">
        <v>2</v>
      </c>
    </row>
    <row r="66" spans="1:14" s="8" customFormat="1" x14ac:dyDescent="0.2">
      <c r="A66" s="7" t="s">
        <v>694</v>
      </c>
      <c r="C66" s="7"/>
      <c r="I66" s="22">
        <f>AVERAGE(I67,I68,I69,I70)</f>
        <v>2</v>
      </c>
      <c r="N66" s="22">
        <f>AVERAGE(N67,N68,N69,N70)</f>
        <v>2.25</v>
      </c>
    </row>
    <row r="67" spans="1:14" x14ac:dyDescent="0.2">
      <c r="A67" s="6" t="s">
        <v>695</v>
      </c>
      <c r="C67" s="6" t="s">
        <v>695</v>
      </c>
      <c r="E67" s="6" t="s">
        <v>51</v>
      </c>
      <c r="F67" s="6" t="s">
        <v>52</v>
      </c>
      <c r="G67" s="6" t="s">
        <v>53</v>
      </c>
      <c r="H67" s="6" t="s">
        <v>370</v>
      </c>
      <c r="I67" s="21">
        <v>1</v>
      </c>
      <c r="J67" s="6" t="s">
        <v>370</v>
      </c>
      <c r="L67" s="6" t="s">
        <v>696</v>
      </c>
      <c r="N67" s="21">
        <v>1</v>
      </c>
    </row>
    <row r="68" spans="1:14" x14ac:dyDescent="0.2">
      <c r="A68" s="6" t="s">
        <v>697</v>
      </c>
      <c r="C68" s="6" t="s">
        <v>697</v>
      </c>
      <c r="D68" s="6" t="s">
        <v>698</v>
      </c>
      <c r="E68" s="6" t="s">
        <v>51</v>
      </c>
      <c r="F68" s="6" t="s">
        <v>52</v>
      </c>
      <c r="G68" s="6" t="s">
        <v>53</v>
      </c>
      <c r="H68" s="6" t="s">
        <v>370</v>
      </c>
      <c r="I68" s="21">
        <v>2</v>
      </c>
      <c r="J68" s="6" t="s">
        <v>370</v>
      </c>
      <c r="L68" s="6" t="s">
        <v>699</v>
      </c>
      <c r="N68" s="21">
        <v>3</v>
      </c>
    </row>
    <row r="69" spans="1:14" x14ac:dyDescent="0.2">
      <c r="A69" s="6" t="s">
        <v>700</v>
      </c>
      <c r="C69" s="6" t="s">
        <v>700</v>
      </c>
      <c r="D69" s="6" t="s">
        <v>701</v>
      </c>
      <c r="E69" s="6" t="s">
        <v>51</v>
      </c>
      <c r="F69" s="6" t="s">
        <v>52</v>
      </c>
      <c r="G69" s="6" t="s">
        <v>53</v>
      </c>
      <c r="H69" s="6" t="s">
        <v>370</v>
      </c>
      <c r="I69" s="21">
        <v>3</v>
      </c>
      <c r="J69" s="6" t="s">
        <v>370</v>
      </c>
      <c r="L69" s="6" t="s">
        <v>702</v>
      </c>
      <c r="N69" s="21">
        <v>3</v>
      </c>
    </row>
    <row r="70" spans="1:14" x14ac:dyDescent="0.2">
      <c r="A70" s="6" t="s">
        <v>703</v>
      </c>
      <c r="C70" s="6" t="s">
        <v>703</v>
      </c>
      <c r="E70" s="6" t="s">
        <v>51</v>
      </c>
      <c r="F70" s="6" t="s">
        <v>52</v>
      </c>
      <c r="G70" s="6" t="s">
        <v>53</v>
      </c>
      <c r="H70" s="6" t="s">
        <v>499</v>
      </c>
      <c r="I70" s="21">
        <v>2</v>
      </c>
      <c r="J70" s="6" t="s">
        <v>370</v>
      </c>
      <c r="L70" s="6" t="s">
        <v>704</v>
      </c>
      <c r="N70" s="21">
        <v>2</v>
      </c>
    </row>
    <row r="71" spans="1:14" s="8" customFormat="1" x14ac:dyDescent="0.2">
      <c r="A71" s="7" t="s">
        <v>705</v>
      </c>
      <c r="C71" s="7"/>
      <c r="I71" s="22">
        <f>AVERAGE(I72,I73,I74,I75)</f>
        <v>1.5</v>
      </c>
      <c r="N71" s="22">
        <f>AVERAGE(N72,N73,N74,N75)</f>
        <v>1.25</v>
      </c>
    </row>
    <row r="72" spans="1:14" x14ac:dyDescent="0.2">
      <c r="A72" s="6" t="s">
        <v>706</v>
      </c>
      <c r="C72" s="6" t="s">
        <v>706</v>
      </c>
      <c r="E72" s="6" t="s">
        <v>51</v>
      </c>
      <c r="F72" s="6" t="s">
        <v>66</v>
      </c>
      <c r="G72" s="6" t="s">
        <v>53</v>
      </c>
      <c r="H72" s="6" t="s">
        <v>370</v>
      </c>
      <c r="I72" s="21">
        <v>1</v>
      </c>
      <c r="J72" s="6" t="s">
        <v>370</v>
      </c>
      <c r="L72" s="6" t="s">
        <v>707</v>
      </c>
      <c r="N72" s="21">
        <v>1</v>
      </c>
    </row>
    <row r="73" spans="1:14" x14ac:dyDescent="0.2">
      <c r="A73" s="6" t="s">
        <v>708</v>
      </c>
      <c r="C73" s="6" t="s">
        <v>708</v>
      </c>
      <c r="D73" s="6" t="s">
        <v>709</v>
      </c>
      <c r="E73" s="6" t="s">
        <v>51</v>
      </c>
      <c r="F73" s="6" t="s">
        <v>52</v>
      </c>
      <c r="G73" s="6" t="s">
        <v>53</v>
      </c>
      <c r="H73" s="6" t="s">
        <v>370</v>
      </c>
      <c r="I73" s="21">
        <v>2</v>
      </c>
      <c r="J73" s="6" t="s">
        <v>370</v>
      </c>
      <c r="L73" s="6" t="s">
        <v>710</v>
      </c>
      <c r="N73" s="21">
        <v>2</v>
      </c>
    </row>
    <row r="74" spans="1:14" x14ac:dyDescent="0.2">
      <c r="A74" s="6" t="s">
        <v>711</v>
      </c>
      <c r="C74" s="6" t="s">
        <v>711</v>
      </c>
      <c r="E74" s="6" t="s">
        <v>51</v>
      </c>
      <c r="F74" s="6" t="s">
        <v>66</v>
      </c>
      <c r="G74" s="6" t="s">
        <v>53</v>
      </c>
      <c r="H74" s="6" t="s">
        <v>370</v>
      </c>
      <c r="I74" s="21">
        <v>1</v>
      </c>
      <c r="J74" s="6" t="s">
        <v>370</v>
      </c>
      <c r="L74" s="6" t="s">
        <v>712</v>
      </c>
      <c r="N74" s="21">
        <v>1</v>
      </c>
    </row>
    <row r="75" spans="1:14" x14ac:dyDescent="0.2">
      <c r="A75" s="6" t="s">
        <v>713</v>
      </c>
      <c r="C75" s="6" t="s">
        <v>713</v>
      </c>
      <c r="E75" s="6" t="s">
        <v>51</v>
      </c>
      <c r="F75" s="6" t="s">
        <v>66</v>
      </c>
      <c r="G75" s="6" t="s">
        <v>53</v>
      </c>
      <c r="H75" s="6" t="s">
        <v>499</v>
      </c>
      <c r="I75" s="21">
        <v>2</v>
      </c>
      <c r="J75" s="6" t="s">
        <v>370</v>
      </c>
      <c r="L75" s="6" t="s">
        <v>714</v>
      </c>
      <c r="N75" s="21">
        <v>1</v>
      </c>
    </row>
    <row r="76" spans="1:14" s="8" customFormat="1" x14ac:dyDescent="0.2">
      <c r="A76" s="7" t="s">
        <v>715</v>
      </c>
      <c r="C76" s="7"/>
      <c r="I76" s="22">
        <f>AVERAGE(I77,I78,I79,I80,I81)</f>
        <v>2.4</v>
      </c>
      <c r="N76" s="22">
        <f>AVERAGE(N77,N78,N79,N80,N81)</f>
        <v>2.6</v>
      </c>
    </row>
    <row r="77" spans="1:14" x14ac:dyDescent="0.2">
      <c r="A77" s="6" t="s">
        <v>716</v>
      </c>
      <c r="C77" s="6" t="s">
        <v>716</v>
      </c>
      <c r="D77" s="6" t="s">
        <v>717</v>
      </c>
      <c r="E77" s="6" t="s">
        <v>51</v>
      </c>
      <c r="F77" s="6" t="s">
        <v>52</v>
      </c>
      <c r="G77" s="6" t="s">
        <v>53</v>
      </c>
      <c r="H77" s="6" t="s">
        <v>370</v>
      </c>
      <c r="I77" s="21">
        <v>2</v>
      </c>
      <c r="J77" s="6" t="s">
        <v>370</v>
      </c>
      <c r="L77" s="6" t="s">
        <v>718</v>
      </c>
      <c r="N77" s="21">
        <v>2</v>
      </c>
    </row>
    <row r="78" spans="1:14" x14ac:dyDescent="0.2">
      <c r="A78" s="6" t="s">
        <v>719</v>
      </c>
      <c r="C78" s="6" t="s">
        <v>719</v>
      </c>
      <c r="E78" s="6" t="s">
        <v>51</v>
      </c>
      <c r="F78" s="6" t="s">
        <v>52</v>
      </c>
      <c r="G78" s="6" t="s">
        <v>53</v>
      </c>
      <c r="H78" s="6" t="s">
        <v>370</v>
      </c>
      <c r="I78" s="21">
        <v>2</v>
      </c>
      <c r="J78" s="6" t="s">
        <v>370</v>
      </c>
      <c r="L78" s="6" t="s">
        <v>720</v>
      </c>
      <c r="N78" s="21">
        <v>3</v>
      </c>
    </row>
    <row r="79" spans="1:14" x14ac:dyDescent="0.2">
      <c r="A79" s="6" t="s">
        <v>722</v>
      </c>
      <c r="C79" s="6" t="s">
        <v>722</v>
      </c>
      <c r="D79" s="6" t="s">
        <v>723</v>
      </c>
      <c r="E79" s="6" t="s">
        <v>51</v>
      </c>
      <c r="F79" s="6" t="s">
        <v>52</v>
      </c>
      <c r="G79" s="6" t="s">
        <v>53</v>
      </c>
      <c r="H79" s="6" t="s">
        <v>370</v>
      </c>
      <c r="I79" s="21">
        <v>3</v>
      </c>
      <c r="J79" s="6" t="s">
        <v>370</v>
      </c>
      <c r="L79" s="6" t="s">
        <v>724</v>
      </c>
      <c r="N79" s="21">
        <v>3</v>
      </c>
    </row>
    <row r="80" spans="1:14" x14ac:dyDescent="0.2">
      <c r="A80" s="6" t="s">
        <v>725</v>
      </c>
      <c r="C80" s="6" t="s">
        <v>725</v>
      </c>
      <c r="E80" s="6" t="s">
        <v>51</v>
      </c>
      <c r="F80" s="6" t="s">
        <v>52</v>
      </c>
      <c r="G80" s="6" t="s">
        <v>53</v>
      </c>
      <c r="H80" s="6" t="s">
        <v>370</v>
      </c>
      <c r="I80" s="21">
        <v>3</v>
      </c>
      <c r="J80" s="6" t="s">
        <v>370</v>
      </c>
      <c r="L80" s="6" t="s">
        <v>726</v>
      </c>
      <c r="N80" s="21">
        <v>3</v>
      </c>
    </row>
    <row r="81" spans="1:14" x14ac:dyDescent="0.2">
      <c r="A81" s="6" t="s">
        <v>727</v>
      </c>
      <c r="C81" s="6" t="s">
        <v>727</v>
      </c>
      <c r="E81" s="6" t="s">
        <v>51</v>
      </c>
      <c r="F81" s="6" t="s">
        <v>66</v>
      </c>
      <c r="G81" s="6" t="s">
        <v>53</v>
      </c>
      <c r="H81" s="6" t="s">
        <v>370</v>
      </c>
      <c r="I81" s="21">
        <v>2</v>
      </c>
      <c r="J81" s="6" t="s">
        <v>370</v>
      </c>
      <c r="L81" s="6" t="s">
        <v>728</v>
      </c>
      <c r="N81" s="21">
        <v>2</v>
      </c>
    </row>
    <row r="82" spans="1:14" s="8" customFormat="1" x14ac:dyDescent="0.2">
      <c r="A82" s="7" t="s">
        <v>729</v>
      </c>
      <c r="C82" s="7"/>
      <c r="I82" s="22">
        <f>AVERAGE(I83,I84,I85,I86)</f>
        <v>2</v>
      </c>
      <c r="N82" s="22">
        <f>AVERAGE(N83,N84,N85,N86)</f>
        <v>2.25</v>
      </c>
    </row>
    <row r="83" spans="1:14" x14ac:dyDescent="0.2">
      <c r="A83" s="6" t="s">
        <v>730</v>
      </c>
      <c r="C83" s="6" t="s">
        <v>730</v>
      </c>
      <c r="E83" s="6" t="s">
        <v>51</v>
      </c>
      <c r="F83" s="6" t="s">
        <v>66</v>
      </c>
      <c r="G83" s="6" t="s">
        <v>53</v>
      </c>
      <c r="H83" s="6" t="s">
        <v>370</v>
      </c>
      <c r="I83" s="21">
        <v>1</v>
      </c>
      <c r="J83" s="6" t="s">
        <v>370</v>
      </c>
      <c r="L83" s="6" t="s">
        <v>731</v>
      </c>
      <c r="N83" s="21">
        <v>1</v>
      </c>
    </row>
    <row r="84" spans="1:14" x14ac:dyDescent="0.2">
      <c r="A84" s="6" t="s">
        <v>732</v>
      </c>
      <c r="C84" s="6" t="s">
        <v>732</v>
      </c>
      <c r="D84" s="6" t="s">
        <v>733</v>
      </c>
      <c r="E84" s="6" t="s">
        <v>51</v>
      </c>
      <c r="F84" s="6" t="s">
        <v>66</v>
      </c>
      <c r="G84" s="6" t="s">
        <v>53</v>
      </c>
      <c r="H84" s="6" t="s">
        <v>370</v>
      </c>
      <c r="I84" s="21">
        <v>2</v>
      </c>
      <c r="J84" s="6" t="s">
        <v>370</v>
      </c>
      <c r="L84" s="6" t="s">
        <v>734</v>
      </c>
      <c r="N84" s="21">
        <v>2</v>
      </c>
    </row>
    <row r="85" spans="1:14" x14ac:dyDescent="0.2">
      <c r="A85" s="6" t="s">
        <v>735</v>
      </c>
      <c r="C85" s="6" t="s">
        <v>735</v>
      </c>
      <c r="E85" s="6" t="s">
        <v>51</v>
      </c>
      <c r="F85" s="6" t="s">
        <v>52</v>
      </c>
      <c r="G85" s="6" t="s">
        <v>53</v>
      </c>
      <c r="H85" s="6" t="s">
        <v>370</v>
      </c>
      <c r="I85" s="21">
        <v>2</v>
      </c>
      <c r="J85" s="6" t="s">
        <v>370</v>
      </c>
      <c r="L85" s="6" t="s">
        <v>736</v>
      </c>
      <c r="N85" s="21">
        <v>3</v>
      </c>
    </row>
    <row r="86" spans="1:14" x14ac:dyDescent="0.2">
      <c r="A86" s="6" t="s">
        <v>737</v>
      </c>
      <c r="C86" s="6" t="s">
        <v>737</v>
      </c>
      <c r="E86" s="6" t="s">
        <v>51</v>
      </c>
      <c r="F86" s="6" t="s">
        <v>66</v>
      </c>
      <c r="G86" s="6" t="s">
        <v>53</v>
      </c>
      <c r="H86" s="6" t="s">
        <v>499</v>
      </c>
      <c r="I86" s="21">
        <v>3</v>
      </c>
      <c r="J86" s="6" t="s">
        <v>370</v>
      </c>
      <c r="L86" s="6" t="s">
        <v>738</v>
      </c>
      <c r="N86" s="21">
        <v>3</v>
      </c>
    </row>
    <row r="87" spans="1:14" s="8" customFormat="1" x14ac:dyDescent="0.2">
      <c r="A87" s="7" t="s">
        <v>739</v>
      </c>
      <c r="C87" s="7"/>
      <c r="I87" s="22">
        <f>AVERAGE(I88,I89,I90,I91,I92)</f>
        <v>1.6</v>
      </c>
      <c r="N87" s="22">
        <f>AVERAGE(N88,N89,N90,N91,N92)</f>
        <v>1.2</v>
      </c>
    </row>
    <row r="88" spans="1:14" x14ac:dyDescent="0.2">
      <c r="A88" s="6" t="s">
        <v>740</v>
      </c>
      <c r="C88" s="6" t="s">
        <v>740</v>
      </c>
      <c r="E88" s="6" t="s">
        <v>51</v>
      </c>
      <c r="F88" s="6" t="s">
        <v>66</v>
      </c>
      <c r="G88" s="6" t="s">
        <v>53</v>
      </c>
      <c r="H88" s="6" t="s">
        <v>370</v>
      </c>
      <c r="I88" s="21">
        <v>1</v>
      </c>
      <c r="J88" s="6" t="s">
        <v>370</v>
      </c>
      <c r="L88" s="6" t="s">
        <v>741</v>
      </c>
      <c r="N88" s="21">
        <v>1</v>
      </c>
    </row>
    <row r="89" spans="1:14" x14ac:dyDescent="0.2">
      <c r="A89" s="6" t="s">
        <v>742</v>
      </c>
      <c r="C89" s="6" t="s">
        <v>742</v>
      </c>
      <c r="E89" s="6" t="s">
        <v>51</v>
      </c>
      <c r="F89" s="6" t="s">
        <v>66</v>
      </c>
      <c r="G89" s="6" t="s">
        <v>53</v>
      </c>
      <c r="H89" s="6" t="s">
        <v>370</v>
      </c>
      <c r="I89" s="21">
        <v>1</v>
      </c>
      <c r="J89" s="6" t="s">
        <v>370</v>
      </c>
      <c r="L89" s="6" t="s">
        <v>743</v>
      </c>
      <c r="N89" s="21">
        <v>1</v>
      </c>
    </row>
    <row r="90" spans="1:14" x14ac:dyDescent="0.2">
      <c r="A90" s="6" t="s">
        <v>744</v>
      </c>
      <c r="C90" s="6" t="s">
        <v>744</v>
      </c>
      <c r="E90" s="6" t="s">
        <v>51</v>
      </c>
      <c r="F90" s="6" t="s">
        <v>52</v>
      </c>
      <c r="G90" s="6" t="s">
        <v>53</v>
      </c>
      <c r="H90" s="6" t="s">
        <v>370</v>
      </c>
      <c r="I90" s="21">
        <v>2</v>
      </c>
      <c r="J90" s="6" t="s">
        <v>370</v>
      </c>
      <c r="L90" s="6" t="s">
        <v>745</v>
      </c>
      <c r="N90" s="21">
        <v>2</v>
      </c>
    </row>
    <row r="91" spans="1:14" x14ac:dyDescent="0.2">
      <c r="A91" s="6" t="s">
        <v>746</v>
      </c>
      <c r="C91" s="6" t="s">
        <v>746</v>
      </c>
      <c r="D91" s="6" t="s">
        <v>747</v>
      </c>
      <c r="E91" s="6" t="s">
        <v>51</v>
      </c>
      <c r="F91" s="6" t="s">
        <v>66</v>
      </c>
      <c r="G91" s="6" t="s">
        <v>53</v>
      </c>
      <c r="H91" s="6" t="s">
        <v>370</v>
      </c>
      <c r="I91" s="21">
        <v>2</v>
      </c>
      <c r="J91" s="6" t="s">
        <v>370</v>
      </c>
      <c r="L91" s="6" t="s">
        <v>748</v>
      </c>
      <c r="N91" s="21">
        <v>1</v>
      </c>
    </row>
    <row r="92" spans="1:14" x14ac:dyDescent="0.2">
      <c r="A92" s="6" t="s">
        <v>749</v>
      </c>
      <c r="C92" s="6" t="s">
        <v>749</v>
      </c>
      <c r="E92" s="6" t="s">
        <v>51</v>
      </c>
      <c r="F92" s="6" t="s">
        <v>66</v>
      </c>
      <c r="G92" s="6" t="s">
        <v>53</v>
      </c>
      <c r="H92" s="6" t="s">
        <v>370</v>
      </c>
      <c r="I92" s="21">
        <v>2</v>
      </c>
      <c r="J92" s="6" t="s">
        <v>370</v>
      </c>
      <c r="L92" s="6" t="s">
        <v>750</v>
      </c>
      <c r="N92" s="21">
        <v>1</v>
      </c>
    </row>
    <row r="93" spans="1:14" s="8" customFormat="1" x14ac:dyDescent="0.2">
      <c r="A93" s="7" t="s">
        <v>751</v>
      </c>
      <c r="C93" s="7"/>
      <c r="I93" s="22">
        <f>AVERAGE(I94,I95,I96,I97)</f>
        <v>2.25</v>
      </c>
      <c r="N93" s="22">
        <f>AVERAGE(N94,N95,N96,N97)</f>
        <v>2.5</v>
      </c>
    </row>
    <row r="94" spans="1:14" x14ac:dyDescent="0.2">
      <c r="A94" s="6" t="s">
        <v>752</v>
      </c>
      <c r="C94" s="6" t="s">
        <v>752</v>
      </c>
      <c r="D94" s="6" t="s">
        <v>753</v>
      </c>
      <c r="E94" s="6" t="s">
        <v>51</v>
      </c>
      <c r="F94" s="6" t="s">
        <v>52</v>
      </c>
      <c r="G94" s="6" t="s">
        <v>53</v>
      </c>
      <c r="H94" s="6" t="s">
        <v>370</v>
      </c>
      <c r="I94" s="21">
        <v>2</v>
      </c>
      <c r="J94" s="6" t="s">
        <v>370</v>
      </c>
      <c r="L94" s="6" t="s">
        <v>754</v>
      </c>
      <c r="N94" s="21">
        <v>3</v>
      </c>
    </row>
    <row r="95" spans="1:14" x14ac:dyDescent="0.2">
      <c r="A95" s="6" t="s">
        <v>755</v>
      </c>
      <c r="C95" s="6" t="s">
        <v>755</v>
      </c>
      <c r="D95" s="6" t="s">
        <v>756</v>
      </c>
      <c r="E95" s="6" t="s">
        <v>51</v>
      </c>
      <c r="F95" s="6" t="s">
        <v>66</v>
      </c>
      <c r="G95" s="6" t="s">
        <v>53</v>
      </c>
      <c r="H95" s="6" t="s">
        <v>370</v>
      </c>
      <c r="I95" s="21">
        <v>2</v>
      </c>
      <c r="J95" s="6" t="s">
        <v>370</v>
      </c>
      <c r="L95" s="6" t="s">
        <v>757</v>
      </c>
      <c r="N95" s="21">
        <v>2</v>
      </c>
    </row>
    <row r="96" spans="1:14" x14ac:dyDescent="0.2">
      <c r="A96" s="6" t="s">
        <v>758</v>
      </c>
      <c r="C96" s="6" t="s">
        <v>758</v>
      </c>
      <c r="E96" s="6" t="s">
        <v>51</v>
      </c>
      <c r="F96" s="6" t="s">
        <v>66</v>
      </c>
      <c r="G96" s="6" t="s">
        <v>53</v>
      </c>
      <c r="H96" s="6" t="s">
        <v>370</v>
      </c>
      <c r="I96" s="21">
        <v>2</v>
      </c>
      <c r="J96" s="6" t="s">
        <v>370</v>
      </c>
      <c r="L96" s="6" t="s">
        <v>759</v>
      </c>
      <c r="N96" s="21">
        <v>2</v>
      </c>
    </row>
    <row r="97" spans="1:14" x14ac:dyDescent="0.2">
      <c r="A97" s="6" t="s">
        <v>760</v>
      </c>
      <c r="C97" s="6" t="s">
        <v>760</v>
      </c>
      <c r="E97" s="6" t="s">
        <v>51</v>
      </c>
      <c r="F97" s="6" t="s">
        <v>66</v>
      </c>
      <c r="G97" s="6" t="s">
        <v>53</v>
      </c>
      <c r="H97" s="6" t="s">
        <v>370</v>
      </c>
      <c r="I97" s="21">
        <v>3</v>
      </c>
      <c r="J97" s="6" t="s">
        <v>370</v>
      </c>
      <c r="L97" s="6" t="s">
        <v>761</v>
      </c>
      <c r="N97" s="21">
        <v>3</v>
      </c>
    </row>
    <row r="98" spans="1:14" s="8" customFormat="1" x14ac:dyDescent="0.2">
      <c r="A98" s="7" t="s">
        <v>762</v>
      </c>
      <c r="C98" s="7"/>
      <c r="I98" s="22">
        <f>AVERAGE(I99,I100,I101,I102)</f>
        <v>1.5</v>
      </c>
      <c r="N98" s="22">
        <f>AVERAGE(N99,N100,N101,N102)</f>
        <v>1.5</v>
      </c>
    </row>
    <row r="99" spans="1:14" x14ac:dyDescent="0.2">
      <c r="A99" s="6" t="s">
        <v>763</v>
      </c>
      <c r="C99" s="6" t="s">
        <v>763</v>
      </c>
      <c r="E99" s="6" t="s">
        <v>51</v>
      </c>
      <c r="F99" s="6" t="s">
        <v>66</v>
      </c>
      <c r="G99" s="6" t="s">
        <v>53</v>
      </c>
      <c r="H99" s="6" t="s">
        <v>370</v>
      </c>
      <c r="I99" s="21">
        <v>1</v>
      </c>
      <c r="J99" s="6" t="s">
        <v>370</v>
      </c>
      <c r="L99" s="6" t="s">
        <v>764</v>
      </c>
      <c r="N99" s="21">
        <v>1</v>
      </c>
    </row>
    <row r="100" spans="1:14" x14ac:dyDescent="0.2">
      <c r="A100" s="6" t="s">
        <v>765</v>
      </c>
      <c r="C100" s="6" t="s">
        <v>765</v>
      </c>
      <c r="E100" s="6" t="s">
        <v>51</v>
      </c>
      <c r="F100" s="6" t="s">
        <v>52</v>
      </c>
      <c r="G100" s="6" t="s">
        <v>53</v>
      </c>
      <c r="H100" s="6" t="s">
        <v>370</v>
      </c>
      <c r="I100" s="21">
        <v>1</v>
      </c>
      <c r="J100" s="6" t="s">
        <v>370</v>
      </c>
      <c r="L100" s="6" t="s">
        <v>766</v>
      </c>
      <c r="N100" s="21">
        <v>1</v>
      </c>
    </row>
    <row r="101" spans="1:14" x14ac:dyDescent="0.2">
      <c r="A101" s="6" t="s">
        <v>767</v>
      </c>
      <c r="C101" s="6" t="s">
        <v>767</v>
      </c>
      <c r="D101" s="6" t="s">
        <v>768</v>
      </c>
      <c r="E101" s="6" t="s">
        <v>51</v>
      </c>
      <c r="F101" s="6" t="s">
        <v>66</v>
      </c>
      <c r="G101" s="6" t="s">
        <v>53</v>
      </c>
      <c r="H101" s="6" t="s">
        <v>499</v>
      </c>
      <c r="I101" s="21">
        <v>1</v>
      </c>
      <c r="J101" s="6" t="s">
        <v>370</v>
      </c>
      <c r="L101" s="6" t="s">
        <v>769</v>
      </c>
      <c r="N101" s="21">
        <v>1</v>
      </c>
    </row>
    <row r="102" spans="1:14" x14ac:dyDescent="0.2">
      <c r="A102" s="6" t="s">
        <v>770</v>
      </c>
      <c r="C102" s="6" t="s">
        <v>770</v>
      </c>
      <c r="D102" s="6" t="s">
        <v>771</v>
      </c>
      <c r="E102" s="6" t="s">
        <v>51</v>
      </c>
      <c r="F102" s="6" t="s">
        <v>66</v>
      </c>
      <c r="G102" s="6" t="s">
        <v>53</v>
      </c>
      <c r="H102" s="6" t="s">
        <v>370</v>
      </c>
      <c r="I102" s="21">
        <v>3</v>
      </c>
      <c r="J102" s="6" t="s">
        <v>370</v>
      </c>
      <c r="L102" s="6" t="s">
        <v>772</v>
      </c>
      <c r="N102" s="21">
        <v>3</v>
      </c>
    </row>
    <row r="103" spans="1:14" s="8" customFormat="1" x14ac:dyDescent="0.2">
      <c r="A103" s="7" t="s">
        <v>773</v>
      </c>
      <c r="C103" s="7"/>
      <c r="I103" s="22">
        <f>AVERAGE(I104:I109)</f>
        <v>1.8333333333333333</v>
      </c>
      <c r="N103" s="22">
        <f>AVERAGE(N104:N109)</f>
        <v>1.8333333333333333</v>
      </c>
    </row>
    <row r="104" spans="1:14" x14ac:dyDescent="0.2">
      <c r="A104" s="6" t="s">
        <v>774</v>
      </c>
      <c r="C104" s="6" t="s">
        <v>774</v>
      </c>
      <c r="E104" s="6" t="s">
        <v>51</v>
      </c>
      <c r="F104" s="6" t="s">
        <v>66</v>
      </c>
      <c r="G104" s="6" t="s">
        <v>53</v>
      </c>
      <c r="H104" s="6" t="s">
        <v>370</v>
      </c>
      <c r="I104" s="21">
        <v>1</v>
      </c>
      <c r="J104" s="6" t="s">
        <v>370</v>
      </c>
      <c r="L104" s="6" t="s">
        <v>775</v>
      </c>
      <c r="N104" s="21">
        <v>1</v>
      </c>
    </row>
    <row r="105" spans="1:14" x14ac:dyDescent="0.2">
      <c r="A105" s="6" t="s">
        <v>776</v>
      </c>
      <c r="C105" s="6" t="s">
        <v>776</v>
      </c>
      <c r="D105" s="6" t="s">
        <v>777</v>
      </c>
      <c r="E105" s="6" t="s">
        <v>51</v>
      </c>
      <c r="F105" s="6" t="s">
        <v>52</v>
      </c>
      <c r="G105" s="6" t="s">
        <v>53</v>
      </c>
      <c r="H105" s="6" t="s">
        <v>370</v>
      </c>
      <c r="I105" s="21">
        <v>2</v>
      </c>
      <c r="J105" s="6" t="s">
        <v>370</v>
      </c>
      <c r="L105" s="6" t="s">
        <v>778</v>
      </c>
      <c r="N105" s="21">
        <v>2</v>
      </c>
    </row>
    <row r="106" spans="1:14" x14ac:dyDescent="0.2">
      <c r="A106" s="6" t="s">
        <v>779</v>
      </c>
      <c r="C106" s="6" t="s">
        <v>779</v>
      </c>
      <c r="D106" s="6" t="s">
        <v>780</v>
      </c>
      <c r="E106" s="6" t="s">
        <v>51</v>
      </c>
      <c r="F106" s="6" t="s">
        <v>52</v>
      </c>
      <c r="G106" s="6" t="s">
        <v>53</v>
      </c>
      <c r="H106" s="6" t="s">
        <v>370</v>
      </c>
      <c r="I106" s="21">
        <v>2</v>
      </c>
      <c r="J106" s="6" t="s">
        <v>370</v>
      </c>
      <c r="L106" s="6" t="s">
        <v>781</v>
      </c>
      <c r="N106" s="21">
        <v>2</v>
      </c>
    </row>
    <row r="107" spans="1:14" x14ac:dyDescent="0.2">
      <c r="A107" s="6" t="s">
        <v>782</v>
      </c>
      <c r="C107" s="6" t="s">
        <v>782</v>
      </c>
      <c r="E107" s="6" t="s">
        <v>51</v>
      </c>
      <c r="F107" s="6" t="s">
        <v>66</v>
      </c>
      <c r="G107" s="6" t="s">
        <v>53</v>
      </c>
      <c r="H107" s="6" t="s">
        <v>370</v>
      </c>
      <c r="I107" s="21">
        <v>2</v>
      </c>
      <c r="J107" s="6" t="s">
        <v>370</v>
      </c>
      <c r="L107" s="6" t="s">
        <v>783</v>
      </c>
      <c r="N107" s="21">
        <v>2</v>
      </c>
    </row>
    <row r="108" spans="1:14" x14ac:dyDescent="0.2">
      <c r="A108" s="6" t="s">
        <v>784</v>
      </c>
      <c r="C108" s="6" t="s">
        <v>784</v>
      </c>
      <c r="E108" s="6" t="s">
        <v>51</v>
      </c>
      <c r="F108" s="6" t="s">
        <v>52</v>
      </c>
      <c r="G108" s="6" t="s">
        <v>53</v>
      </c>
      <c r="H108" s="6" t="s">
        <v>370</v>
      </c>
      <c r="I108" s="21">
        <v>2</v>
      </c>
      <c r="J108" s="6" t="s">
        <v>370</v>
      </c>
      <c r="L108" s="6" t="s">
        <v>785</v>
      </c>
      <c r="N108" s="21">
        <v>2</v>
      </c>
    </row>
    <row r="109" spans="1:14" x14ac:dyDescent="0.2">
      <c r="A109" s="6" t="s">
        <v>786</v>
      </c>
      <c r="C109" s="6" t="s">
        <v>786</v>
      </c>
      <c r="E109" s="6" t="s">
        <v>51</v>
      </c>
      <c r="F109" s="6" t="s">
        <v>66</v>
      </c>
      <c r="G109" s="6" t="s">
        <v>53</v>
      </c>
      <c r="H109" s="6" t="s">
        <v>370</v>
      </c>
      <c r="I109" s="21">
        <v>2</v>
      </c>
      <c r="J109" s="6" t="s">
        <v>370</v>
      </c>
      <c r="L109" s="6" t="s">
        <v>787</v>
      </c>
      <c r="N109" s="21">
        <v>2</v>
      </c>
    </row>
    <row r="110" spans="1:14" s="8" customFormat="1" x14ac:dyDescent="0.2">
      <c r="A110" s="7" t="s">
        <v>788</v>
      </c>
      <c r="C110" s="7"/>
      <c r="I110" s="22">
        <f>AVERAGE(I111:I116)</f>
        <v>2.3333333333333335</v>
      </c>
      <c r="N110" s="22">
        <f>AVERAGE(N111:N116)</f>
        <v>2.1666666666666665</v>
      </c>
    </row>
    <row r="111" spans="1:14" x14ac:dyDescent="0.2">
      <c r="A111" s="6" t="s">
        <v>789</v>
      </c>
      <c r="C111" s="6" t="s">
        <v>789</v>
      </c>
      <c r="E111" s="6" t="s">
        <v>51</v>
      </c>
      <c r="F111" s="6" t="s">
        <v>66</v>
      </c>
      <c r="G111" s="6" t="s">
        <v>53</v>
      </c>
      <c r="H111" s="6" t="s">
        <v>370</v>
      </c>
      <c r="I111" s="21">
        <v>2</v>
      </c>
      <c r="J111" s="6" t="s">
        <v>370</v>
      </c>
      <c r="L111" s="6" t="s">
        <v>790</v>
      </c>
      <c r="N111" s="21">
        <v>1</v>
      </c>
    </row>
    <row r="112" spans="1:14" x14ac:dyDescent="0.2">
      <c r="A112" s="6" t="s">
        <v>791</v>
      </c>
      <c r="C112" s="6" t="s">
        <v>791</v>
      </c>
      <c r="E112" s="6" t="s">
        <v>51</v>
      </c>
      <c r="F112" s="6" t="s">
        <v>66</v>
      </c>
      <c r="G112" s="6" t="s">
        <v>53</v>
      </c>
      <c r="H112" s="6" t="s">
        <v>370</v>
      </c>
      <c r="I112" s="21">
        <v>2</v>
      </c>
      <c r="J112" s="6" t="s">
        <v>370</v>
      </c>
      <c r="L112" s="6" t="s">
        <v>792</v>
      </c>
      <c r="N112" s="21">
        <v>2</v>
      </c>
    </row>
    <row r="113" spans="1:14" x14ac:dyDescent="0.2">
      <c r="A113" s="6" t="s">
        <v>793</v>
      </c>
      <c r="C113" s="6" t="s">
        <v>793</v>
      </c>
      <c r="E113" s="6" t="s">
        <v>51</v>
      </c>
      <c r="F113" s="6" t="s">
        <v>66</v>
      </c>
      <c r="G113" s="6" t="s">
        <v>53</v>
      </c>
      <c r="H113" s="6" t="s">
        <v>370</v>
      </c>
      <c r="I113" s="21">
        <v>2</v>
      </c>
      <c r="J113" s="6" t="s">
        <v>370</v>
      </c>
      <c r="L113" s="6" t="s">
        <v>794</v>
      </c>
      <c r="N113" s="21">
        <v>2</v>
      </c>
    </row>
    <row r="114" spans="1:14" x14ac:dyDescent="0.2">
      <c r="A114" s="6" t="s">
        <v>795</v>
      </c>
      <c r="C114" s="6" t="s">
        <v>795</v>
      </c>
      <c r="E114" s="6" t="s">
        <v>51</v>
      </c>
      <c r="F114" s="6" t="s">
        <v>52</v>
      </c>
      <c r="G114" s="6" t="s">
        <v>53</v>
      </c>
      <c r="H114" s="6" t="s">
        <v>370</v>
      </c>
      <c r="I114" s="21">
        <v>3</v>
      </c>
      <c r="J114" s="6" t="s">
        <v>370</v>
      </c>
      <c r="L114" s="6" t="s">
        <v>796</v>
      </c>
      <c r="N114" s="21">
        <v>2</v>
      </c>
    </row>
    <row r="115" spans="1:14" x14ac:dyDescent="0.2">
      <c r="A115" s="6" t="s">
        <v>797</v>
      </c>
      <c r="C115" s="6" t="s">
        <v>797</v>
      </c>
      <c r="E115" s="6" t="s">
        <v>51</v>
      </c>
      <c r="F115" s="6" t="s">
        <v>66</v>
      </c>
      <c r="G115" s="6" t="s">
        <v>53</v>
      </c>
      <c r="H115" s="6" t="s">
        <v>370</v>
      </c>
      <c r="I115" s="21">
        <v>3</v>
      </c>
      <c r="J115" s="6" t="s">
        <v>370</v>
      </c>
      <c r="L115" s="6" t="s">
        <v>798</v>
      </c>
      <c r="N115" s="21">
        <v>2</v>
      </c>
    </row>
    <row r="116" spans="1:14" x14ac:dyDescent="0.2">
      <c r="A116" s="6" t="s">
        <v>799</v>
      </c>
      <c r="C116" s="6" t="s">
        <v>799</v>
      </c>
      <c r="E116" s="6" t="s">
        <v>51</v>
      </c>
      <c r="F116" s="6" t="s">
        <v>66</v>
      </c>
      <c r="G116" s="6" t="s">
        <v>53</v>
      </c>
      <c r="H116" s="6" t="s">
        <v>370</v>
      </c>
      <c r="I116" s="21">
        <v>2</v>
      </c>
      <c r="J116" s="6" t="s">
        <v>370</v>
      </c>
      <c r="L116" s="6" t="s">
        <v>800</v>
      </c>
      <c r="N116" s="21">
        <v>4</v>
      </c>
    </row>
    <row r="117" spans="1:14" s="8" customFormat="1" x14ac:dyDescent="0.2">
      <c r="A117" s="7" t="s">
        <v>801</v>
      </c>
      <c r="C117" s="7"/>
      <c r="I117" s="22">
        <f>AVERAGE(I118:I123)</f>
        <v>2.6666666666666665</v>
      </c>
      <c r="N117" s="22">
        <f>AVERAGE(N118:N123)</f>
        <v>1.5</v>
      </c>
    </row>
    <row r="118" spans="1:14" x14ac:dyDescent="0.2">
      <c r="A118" s="6" t="s">
        <v>802</v>
      </c>
      <c r="C118" s="6" t="s">
        <v>802</v>
      </c>
      <c r="E118" s="6" t="s">
        <v>51</v>
      </c>
      <c r="F118" s="6" t="s">
        <v>66</v>
      </c>
      <c r="G118" s="6" t="s">
        <v>53</v>
      </c>
      <c r="H118" s="6" t="s">
        <v>370</v>
      </c>
      <c r="I118" s="21">
        <v>3</v>
      </c>
      <c r="J118" s="6" t="s">
        <v>370</v>
      </c>
      <c r="L118" s="6" t="s">
        <v>803</v>
      </c>
      <c r="N118" s="21">
        <v>1</v>
      </c>
    </row>
    <row r="119" spans="1:14" x14ac:dyDescent="0.2">
      <c r="A119" s="6" t="s">
        <v>804</v>
      </c>
      <c r="C119" s="6" t="s">
        <v>804</v>
      </c>
      <c r="E119" s="6" t="s">
        <v>51</v>
      </c>
      <c r="F119" s="6" t="s">
        <v>52</v>
      </c>
      <c r="G119" s="6" t="s">
        <v>53</v>
      </c>
      <c r="H119" s="6" t="s">
        <v>370</v>
      </c>
      <c r="I119" s="21">
        <v>3</v>
      </c>
      <c r="J119" s="6" t="s">
        <v>370</v>
      </c>
      <c r="L119" s="6" t="s">
        <v>805</v>
      </c>
      <c r="N119" s="21">
        <v>1</v>
      </c>
    </row>
    <row r="120" spans="1:14" x14ac:dyDescent="0.2">
      <c r="A120" s="6" t="s">
        <v>945</v>
      </c>
      <c r="C120" s="6" t="s">
        <v>945</v>
      </c>
      <c r="E120" s="6" t="s">
        <v>51</v>
      </c>
      <c r="F120" s="6" t="s">
        <v>52</v>
      </c>
      <c r="G120" s="6" t="s">
        <v>53</v>
      </c>
      <c r="H120" s="6" t="s">
        <v>370</v>
      </c>
      <c r="I120" s="21">
        <v>4</v>
      </c>
      <c r="J120" s="6" t="s">
        <v>370</v>
      </c>
      <c r="L120" s="6" t="s">
        <v>807</v>
      </c>
      <c r="N120" s="21">
        <v>2</v>
      </c>
    </row>
    <row r="121" spans="1:14" x14ac:dyDescent="0.2">
      <c r="A121" s="6" t="s">
        <v>808</v>
      </c>
      <c r="C121" s="6" t="s">
        <v>808</v>
      </c>
      <c r="E121" s="6" t="s">
        <v>51</v>
      </c>
      <c r="F121" s="6" t="s">
        <v>66</v>
      </c>
      <c r="G121" s="6" t="s">
        <v>53</v>
      </c>
      <c r="H121" s="6" t="s">
        <v>370</v>
      </c>
      <c r="I121" s="21">
        <v>2</v>
      </c>
      <c r="J121" s="6" t="s">
        <v>370</v>
      </c>
      <c r="L121" s="6" t="s">
        <v>809</v>
      </c>
      <c r="N121" s="21">
        <v>2</v>
      </c>
    </row>
    <row r="122" spans="1:14" x14ac:dyDescent="0.2">
      <c r="A122" s="6" t="s">
        <v>810</v>
      </c>
      <c r="C122" s="6" t="s">
        <v>810</v>
      </c>
      <c r="D122" s="6" t="s">
        <v>811</v>
      </c>
      <c r="E122" s="6" t="s">
        <v>51</v>
      </c>
      <c r="F122" s="6" t="s">
        <v>66</v>
      </c>
      <c r="G122" s="6" t="s">
        <v>53</v>
      </c>
      <c r="H122" s="6" t="s">
        <v>499</v>
      </c>
      <c r="I122" s="21">
        <v>2</v>
      </c>
      <c r="J122" s="6" t="s">
        <v>370</v>
      </c>
      <c r="L122" s="6" t="s">
        <v>812</v>
      </c>
      <c r="N122" s="21">
        <v>1</v>
      </c>
    </row>
    <row r="123" spans="1:14" x14ac:dyDescent="0.2">
      <c r="A123" s="6" t="s">
        <v>813</v>
      </c>
      <c r="C123" s="6" t="s">
        <v>813</v>
      </c>
      <c r="E123" s="6" t="s">
        <v>51</v>
      </c>
      <c r="F123" s="6" t="s">
        <v>66</v>
      </c>
      <c r="G123" s="6" t="s">
        <v>53</v>
      </c>
      <c r="H123" s="6" t="s">
        <v>370</v>
      </c>
      <c r="I123" s="21">
        <v>2</v>
      </c>
      <c r="J123" s="6" t="s">
        <v>370</v>
      </c>
      <c r="L123" s="6" t="s">
        <v>814</v>
      </c>
      <c r="N123" s="21">
        <v>2</v>
      </c>
    </row>
  </sheetData>
  <mergeCells count="1">
    <mergeCell ref="J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368B-13C5-4060-A5B6-B9CBB8290799}">
  <dimension ref="A1:C123"/>
  <sheetViews>
    <sheetView workbookViewId="0">
      <selection activeCell="A90" sqref="A90"/>
    </sheetView>
  </sheetViews>
  <sheetFormatPr defaultRowHeight="15.75" x14ac:dyDescent="0.25"/>
  <cols>
    <col min="1" max="1" width="100.375" style="6" bestFit="1" customWidth="1"/>
    <col min="2" max="3" width="23.5" style="21" bestFit="1" customWidth="1"/>
  </cols>
  <sheetData>
    <row r="1" spans="1:3" x14ac:dyDescent="0.25">
      <c r="A1" s="3" t="s">
        <v>38</v>
      </c>
      <c r="B1" s="5" t="s">
        <v>558</v>
      </c>
      <c r="C1" s="5" t="s">
        <v>552</v>
      </c>
    </row>
    <row r="2" spans="1:3" x14ac:dyDescent="0.25">
      <c r="A2" s="7" t="s">
        <v>559</v>
      </c>
      <c r="B2" s="22">
        <f>AVERAGE(B3,B4,B5,B6,B7)</f>
        <v>1.6</v>
      </c>
      <c r="C2" s="22" t="s">
        <v>499</v>
      </c>
    </row>
    <row r="3" spans="1:3" x14ac:dyDescent="0.25">
      <c r="A3" s="6" t="s">
        <v>942</v>
      </c>
      <c r="B3" s="21">
        <v>2</v>
      </c>
    </row>
    <row r="4" spans="1:3" x14ac:dyDescent="0.25">
      <c r="A4" s="6" t="s">
        <v>561</v>
      </c>
      <c r="B4" s="21">
        <v>2</v>
      </c>
    </row>
    <row r="5" spans="1:3" x14ac:dyDescent="0.25">
      <c r="A5" s="6" t="s">
        <v>943</v>
      </c>
      <c r="B5" s="21">
        <v>1</v>
      </c>
    </row>
    <row r="6" spans="1:3" x14ac:dyDescent="0.25">
      <c r="A6" s="6" t="s">
        <v>944</v>
      </c>
      <c r="B6" s="21">
        <v>1</v>
      </c>
    </row>
    <row r="7" spans="1:3" x14ac:dyDescent="0.25">
      <c r="A7" s="6" t="s">
        <v>566</v>
      </c>
      <c r="B7" s="21">
        <v>2</v>
      </c>
    </row>
    <row r="8" spans="1:3" x14ac:dyDescent="0.25">
      <c r="A8" s="7" t="s">
        <v>569</v>
      </c>
      <c r="B8" s="22">
        <f>AVERAGE(B9,B10,B11,B12,B13)</f>
        <v>2.4</v>
      </c>
      <c r="C8" s="22" t="s">
        <v>499</v>
      </c>
    </row>
    <row r="9" spans="1:3" x14ac:dyDescent="0.25">
      <c r="A9" s="6" t="s">
        <v>570</v>
      </c>
      <c r="B9" s="21">
        <v>2</v>
      </c>
    </row>
    <row r="10" spans="1:3" x14ac:dyDescent="0.25">
      <c r="A10" s="6" t="s">
        <v>572</v>
      </c>
      <c r="B10" s="21">
        <v>3</v>
      </c>
    </row>
    <row r="11" spans="1:3" x14ac:dyDescent="0.25">
      <c r="A11" s="6" t="s">
        <v>575</v>
      </c>
      <c r="B11" s="21">
        <v>3</v>
      </c>
    </row>
    <row r="12" spans="1:3" x14ac:dyDescent="0.25">
      <c r="A12" s="6" t="s">
        <v>578</v>
      </c>
      <c r="B12" s="21">
        <v>2</v>
      </c>
    </row>
    <row r="13" spans="1:3" x14ac:dyDescent="0.25">
      <c r="A13" s="6" t="s">
        <v>581</v>
      </c>
      <c r="B13" s="21">
        <v>2</v>
      </c>
    </row>
    <row r="14" spans="1:3" x14ac:dyDescent="0.25">
      <c r="A14" s="7" t="s">
        <v>583</v>
      </c>
      <c r="B14" s="22" t="s">
        <v>1004</v>
      </c>
      <c r="C14" s="22" t="s">
        <v>499</v>
      </c>
    </row>
    <row r="15" spans="1:3" x14ac:dyDescent="0.25">
      <c r="A15" s="6" t="s">
        <v>584</v>
      </c>
      <c r="B15" s="21">
        <v>1</v>
      </c>
    </row>
    <row r="16" spans="1:3" x14ac:dyDescent="0.25">
      <c r="A16" s="6" t="s">
        <v>586</v>
      </c>
      <c r="B16" s="21">
        <v>2</v>
      </c>
    </row>
    <row r="17" spans="1:3" x14ac:dyDescent="0.25">
      <c r="A17" s="6" t="s">
        <v>589</v>
      </c>
      <c r="B17" s="21">
        <v>3</v>
      </c>
    </row>
    <row r="18" spans="1:3" x14ac:dyDescent="0.25">
      <c r="A18" s="6" t="s">
        <v>591</v>
      </c>
      <c r="B18" s="21">
        <v>3</v>
      </c>
    </row>
    <row r="19" spans="1:3" x14ac:dyDescent="0.25">
      <c r="A19" s="6" t="s">
        <v>594</v>
      </c>
      <c r="B19" s="21">
        <v>2</v>
      </c>
    </row>
    <row r="20" spans="1:3" x14ac:dyDescent="0.25">
      <c r="A20" s="7" t="s">
        <v>596</v>
      </c>
      <c r="B20" s="22">
        <f>AVERAGE(B21,B22,B23,B24,B25)</f>
        <v>1.8</v>
      </c>
      <c r="C20" s="22" t="s">
        <v>499</v>
      </c>
    </row>
    <row r="21" spans="1:3" x14ac:dyDescent="0.25">
      <c r="A21" s="6" t="s">
        <v>597</v>
      </c>
      <c r="B21" s="21">
        <v>1</v>
      </c>
    </row>
    <row r="22" spans="1:3" x14ac:dyDescent="0.25">
      <c r="A22" s="6" t="s">
        <v>599</v>
      </c>
      <c r="B22" s="21">
        <v>1</v>
      </c>
    </row>
    <row r="23" spans="1:3" x14ac:dyDescent="0.25">
      <c r="A23" s="6" t="s">
        <v>601</v>
      </c>
      <c r="B23" s="21">
        <v>2</v>
      </c>
    </row>
    <row r="24" spans="1:3" x14ac:dyDescent="0.25">
      <c r="A24" s="6" t="s">
        <v>604</v>
      </c>
      <c r="B24" s="21">
        <v>3</v>
      </c>
    </row>
    <row r="25" spans="1:3" x14ac:dyDescent="0.25">
      <c r="A25" s="6" t="s">
        <v>607</v>
      </c>
      <c r="B25" s="21">
        <v>2</v>
      </c>
    </row>
    <row r="26" spans="1:3" x14ac:dyDescent="0.25">
      <c r="A26" s="7" t="s">
        <v>609</v>
      </c>
      <c r="B26" s="22">
        <f>AVERAGE(B27,B28,B29,B30)</f>
        <v>2.25</v>
      </c>
      <c r="C26" s="22" t="s">
        <v>499</v>
      </c>
    </row>
    <row r="27" spans="1:3" x14ac:dyDescent="0.25">
      <c r="A27" s="6" t="s">
        <v>610</v>
      </c>
      <c r="B27" s="21">
        <v>2</v>
      </c>
    </row>
    <row r="28" spans="1:3" x14ac:dyDescent="0.25">
      <c r="A28" s="6" t="s">
        <v>613</v>
      </c>
      <c r="B28" s="21">
        <v>1</v>
      </c>
    </row>
    <row r="29" spans="1:3" x14ac:dyDescent="0.25">
      <c r="A29" s="6" t="s">
        <v>615</v>
      </c>
      <c r="B29" s="21">
        <v>3</v>
      </c>
    </row>
    <row r="30" spans="1:3" x14ac:dyDescent="0.25">
      <c r="A30" s="6" t="s">
        <v>617</v>
      </c>
      <c r="B30" s="21">
        <v>3</v>
      </c>
    </row>
    <row r="31" spans="1:3" x14ac:dyDescent="0.25">
      <c r="A31" s="7" t="s">
        <v>619</v>
      </c>
      <c r="B31" s="22">
        <f>AVERAGE(B32,B33,B34,B35)</f>
        <v>2.25</v>
      </c>
      <c r="C31" s="22" t="s">
        <v>499</v>
      </c>
    </row>
    <row r="32" spans="1:3" x14ac:dyDescent="0.25">
      <c r="A32" s="6" t="s">
        <v>620</v>
      </c>
      <c r="B32" s="21">
        <v>1</v>
      </c>
    </row>
    <row r="33" spans="1:3" x14ac:dyDescent="0.25">
      <c r="A33" s="6" t="s">
        <v>622</v>
      </c>
      <c r="B33" s="21">
        <v>2</v>
      </c>
    </row>
    <row r="34" spans="1:3" x14ac:dyDescent="0.25">
      <c r="A34" s="6" t="s">
        <v>624</v>
      </c>
      <c r="B34" s="21">
        <v>3</v>
      </c>
    </row>
    <row r="35" spans="1:3" x14ac:dyDescent="0.25">
      <c r="A35" s="6" t="s">
        <v>628</v>
      </c>
      <c r="B35" s="21">
        <v>3</v>
      </c>
    </row>
    <row r="36" spans="1:3" x14ac:dyDescent="0.25">
      <c r="A36" s="7" t="s">
        <v>630</v>
      </c>
      <c r="B36" s="22">
        <f>AVERAGE(B37,B38,B39,B40,B41)</f>
        <v>1.8</v>
      </c>
      <c r="C36" s="22" t="s">
        <v>499</v>
      </c>
    </row>
    <row r="37" spans="1:3" x14ac:dyDescent="0.25">
      <c r="A37" s="6" t="s">
        <v>631</v>
      </c>
      <c r="B37" s="21">
        <v>1</v>
      </c>
    </row>
    <row r="38" spans="1:3" x14ac:dyDescent="0.25">
      <c r="A38" s="6" t="s">
        <v>633</v>
      </c>
      <c r="B38" s="21">
        <v>2</v>
      </c>
    </row>
    <row r="39" spans="1:3" x14ac:dyDescent="0.25">
      <c r="A39" s="6" t="s">
        <v>635</v>
      </c>
      <c r="B39" s="21">
        <v>2</v>
      </c>
    </row>
    <row r="40" spans="1:3" x14ac:dyDescent="0.25">
      <c r="A40" s="6" t="s">
        <v>638</v>
      </c>
      <c r="B40" s="21">
        <v>1</v>
      </c>
    </row>
    <row r="41" spans="1:3" x14ac:dyDescent="0.25">
      <c r="A41" s="6" t="s">
        <v>641</v>
      </c>
      <c r="B41" s="21">
        <v>3</v>
      </c>
    </row>
    <row r="42" spans="1:3" x14ac:dyDescent="0.25">
      <c r="A42" s="7" t="s">
        <v>644</v>
      </c>
      <c r="B42" s="22">
        <f>AVERAGE(B43,B44,B45,B46)</f>
        <v>1.5</v>
      </c>
      <c r="C42" s="22"/>
    </row>
    <row r="43" spans="1:3" x14ac:dyDescent="0.25">
      <c r="A43" s="6" t="s">
        <v>645</v>
      </c>
      <c r="B43" s="21">
        <v>2</v>
      </c>
    </row>
    <row r="44" spans="1:3" x14ac:dyDescent="0.25">
      <c r="A44" s="6" t="s">
        <v>648</v>
      </c>
      <c r="B44" s="21">
        <v>1</v>
      </c>
    </row>
    <row r="45" spans="1:3" x14ac:dyDescent="0.25">
      <c r="A45" s="6" t="s">
        <v>651</v>
      </c>
      <c r="B45" s="21">
        <v>1</v>
      </c>
    </row>
    <row r="46" spans="1:3" x14ac:dyDescent="0.25">
      <c r="A46" s="6" t="s">
        <v>653</v>
      </c>
      <c r="B46" s="21">
        <v>2</v>
      </c>
    </row>
    <row r="47" spans="1:3" x14ac:dyDescent="0.25">
      <c r="A47" s="7" t="s">
        <v>656</v>
      </c>
      <c r="B47" s="22">
        <f>AVERAGE(B48,B49,B50,B51)</f>
        <v>1.5</v>
      </c>
      <c r="C47" s="22"/>
    </row>
    <row r="48" spans="1:3" x14ac:dyDescent="0.25">
      <c r="A48" s="6" t="s">
        <v>657</v>
      </c>
      <c r="B48" s="21">
        <v>1</v>
      </c>
    </row>
    <row r="49" spans="1:3" x14ac:dyDescent="0.25">
      <c r="A49" s="6" t="s">
        <v>660</v>
      </c>
      <c r="B49" s="21">
        <v>2</v>
      </c>
    </row>
    <row r="50" spans="1:3" x14ac:dyDescent="0.25">
      <c r="A50" s="6" t="s">
        <v>662</v>
      </c>
      <c r="B50" s="21">
        <v>2</v>
      </c>
    </row>
    <row r="51" spans="1:3" x14ac:dyDescent="0.25">
      <c r="A51" s="6" t="s">
        <v>665</v>
      </c>
      <c r="B51" s="21">
        <v>1</v>
      </c>
    </row>
    <row r="52" spans="1:3" x14ac:dyDescent="0.25">
      <c r="A52" s="7" t="s">
        <v>667</v>
      </c>
      <c r="B52" s="22">
        <f>AVERAGE(B53,B54,B55,B56)</f>
        <v>2.25</v>
      </c>
      <c r="C52" s="22" t="s">
        <v>499</v>
      </c>
    </row>
    <row r="53" spans="1:3" x14ac:dyDescent="0.25">
      <c r="A53" s="6" t="s">
        <v>668</v>
      </c>
      <c r="B53" s="21">
        <v>2</v>
      </c>
    </row>
    <row r="54" spans="1:3" x14ac:dyDescent="0.25">
      <c r="A54" s="6" t="s">
        <v>670</v>
      </c>
      <c r="B54" s="21">
        <v>2</v>
      </c>
    </row>
    <row r="55" spans="1:3" x14ac:dyDescent="0.25">
      <c r="A55" s="6" t="s">
        <v>672</v>
      </c>
      <c r="B55" s="21">
        <v>3</v>
      </c>
    </row>
    <row r="56" spans="1:3" x14ac:dyDescent="0.25">
      <c r="A56" s="6" t="s">
        <v>675</v>
      </c>
      <c r="B56" s="21">
        <v>2</v>
      </c>
    </row>
    <row r="57" spans="1:3" x14ac:dyDescent="0.25">
      <c r="A57" s="7" t="s">
        <v>677</v>
      </c>
      <c r="B57" s="22">
        <f>AVERAGE(B58,B59,B60,B61)</f>
        <v>1.75</v>
      </c>
      <c r="C57" s="22"/>
    </row>
    <row r="58" spans="1:3" x14ac:dyDescent="0.25">
      <c r="A58" s="6" t="s">
        <v>678</v>
      </c>
      <c r="B58" s="21">
        <v>1</v>
      </c>
    </row>
    <row r="59" spans="1:3" x14ac:dyDescent="0.25">
      <c r="A59" s="6" t="s">
        <v>680</v>
      </c>
      <c r="B59" s="21">
        <v>2</v>
      </c>
    </row>
    <row r="60" spans="1:3" x14ac:dyDescent="0.25">
      <c r="A60" s="6" t="s">
        <v>683</v>
      </c>
      <c r="B60" s="21">
        <v>3</v>
      </c>
    </row>
    <row r="61" spans="1:3" x14ac:dyDescent="0.25">
      <c r="A61" s="6" t="s">
        <v>685</v>
      </c>
      <c r="B61" s="21">
        <v>1</v>
      </c>
    </row>
    <row r="62" spans="1:3" x14ac:dyDescent="0.25">
      <c r="A62" s="7" t="s">
        <v>687</v>
      </c>
      <c r="B62" s="22">
        <f>AVERAGE(B63:B65)</f>
        <v>1.6666666666666667</v>
      </c>
      <c r="C62" s="22"/>
    </row>
    <row r="63" spans="1:3" x14ac:dyDescent="0.25">
      <c r="A63" s="6" t="s">
        <v>688</v>
      </c>
      <c r="B63" s="21">
        <v>1</v>
      </c>
    </row>
    <row r="64" spans="1:3" x14ac:dyDescent="0.25">
      <c r="A64" s="6" t="s">
        <v>690</v>
      </c>
      <c r="B64" s="21">
        <v>2</v>
      </c>
    </row>
    <row r="65" spans="1:3" x14ac:dyDescent="0.25">
      <c r="A65" s="6" t="s">
        <v>693</v>
      </c>
      <c r="B65" s="21">
        <v>2</v>
      </c>
    </row>
    <row r="66" spans="1:3" x14ac:dyDescent="0.25">
      <c r="A66" s="7" t="s">
        <v>694</v>
      </c>
      <c r="B66" s="22">
        <f>AVERAGE(B67,B68,B69,B70)</f>
        <v>2.25</v>
      </c>
      <c r="C66" s="22" t="s">
        <v>499</v>
      </c>
    </row>
    <row r="67" spans="1:3" x14ac:dyDescent="0.25">
      <c r="A67" s="6" t="s">
        <v>695</v>
      </c>
      <c r="B67" s="21">
        <v>1</v>
      </c>
    </row>
    <row r="68" spans="1:3" x14ac:dyDescent="0.25">
      <c r="A68" s="6" t="s">
        <v>697</v>
      </c>
      <c r="B68" s="21">
        <v>3</v>
      </c>
    </row>
    <row r="69" spans="1:3" x14ac:dyDescent="0.25">
      <c r="A69" s="6" t="s">
        <v>700</v>
      </c>
      <c r="B69" s="21">
        <v>3</v>
      </c>
    </row>
    <row r="70" spans="1:3" x14ac:dyDescent="0.25">
      <c r="A70" s="6" t="s">
        <v>703</v>
      </c>
      <c r="B70" s="21">
        <v>2</v>
      </c>
    </row>
    <row r="71" spans="1:3" x14ac:dyDescent="0.25">
      <c r="A71" s="7" t="s">
        <v>705</v>
      </c>
      <c r="B71" s="22">
        <f>AVERAGE(B72,B73,B74,B75)</f>
        <v>1.25</v>
      </c>
      <c r="C71" s="22"/>
    </row>
    <row r="72" spans="1:3" x14ac:dyDescent="0.25">
      <c r="A72" s="6" t="s">
        <v>706</v>
      </c>
      <c r="B72" s="21">
        <v>1</v>
      </c>
    </row>
    <row r="73" spans="1:3" x14ac:dyDescent="0.25">
      <c r="A73" s="6" t="s">
        <v>708</v>
      </c>
      <c r="B73" s="21">
        <v>2</v>
      </c>
    </row>
    <row r="74" spans="1:3" x14ac:dyDescent="0.25">
      <c r="A74" s="6" t="s">
        <v>711</v>
      </c>
      <c r="B74" s="21">
        <v>1</v>
      </c>
    </row>
    <row r="75" spans="1:3" x14ac:dyDescent="0.25">
      <c r="A75" s="6" t="s">
        <v>713</v>
      </c>
      <c r="B75" s="21">
        <v>1</v>
      </c>
    </row>
    <row r="76" spans="1:3" x14ac:dyDescent="0.25">
      <c r="A76" s="7" t="s">
        <v>715</v>
      </c>
      <c r="B76" s="22">
        <f>AVERAGE(B77,B78,B79,B80,B81)</f>
        <v>2.6</v>
      </c>
      <c r="C76" s="22" t="s">
        <v>499</v>
      </c>
    </row>
    <row r="77" spans="1:3" x14ac:dyDescent="0.25">
      <c r="A77" s="6" t="s">
        <v>716</v>
      </c>
      <c r="B77" s="21">
        <v>2</v>
      </c>
    </row>
    <row r="78" spans="1:3" x14ac:dyDescent="0.25">
      <c r="A78" s="6" t="s">
        <v>719</v>
      </c>
      <c r="B78" s="21">
        <v>3</v>
      </c>
    </row>
    <row r="79" spans="1:3" x14ac:dyDescent="0.25">
      <c r="A79" s="6" t="s">
        <v>721</v>
      </c>
      <c r="B79" s="21">
        <v>3</v>
      </c>
    </row>
    <row r="80" spans="1:3" x14ac:dyDescent="0.25">
      <c r="A80" s="6" t="s">
        <v>725</v>
      </c>
      <c r="B80" s="21">
        <v>3</v>
      </c>
    </row>
    <row r="81" spans="1:3" x14ac:dyDescent="0.25">
      <c r="A81" s="6" t="s">
        <v>727</v>
      </c>
      <c r="B81" s="21">
        <v>2</v>
      </c>
    </row>
    <row r="82" spans="1:3" x14ac:dyDescent="0.25">
      <c r="A82" s="7" t="s">
        <v>729</v>
      </c>
      <c r="B82" s="22">
        <f>AVERAGE(B83,B84,B85,B86)</f>
        <v>2.25</v>
      </c>
      <c r="C82" s="22" t="s">
        <v>499</v>
      </c>
    </row>
    <row r="83" spans="1:3" x14ac:dyDescent="0.25">
      <c r="A83" s="6" t="s">
        <v>730</v>
      </c>
      <c r="B83" s="21">
        <v>1</v>
      </c>
    </row>
    <row r="84" spans="1:3" x14ac:dyDescent="0.25">
      <c r="A84" s="6" t="s">
        <v>732</v>
      </c>
      <c r="B84" s="21">
        <v>2</v>
      </c>
    </row>
    <row r="85" spans="1:3" x14ac:dyDescent="0.25">
      <c r="A85" s="6" t="s">
        <v>735</v>
      </c>
      <c r="B85" s="21">
        <v>3</v>
      </c>
    </row>
    <row r="86" spans="1:3" x14ac:dyDescent="0.25">
      <c r="A86" s="6" t="s">
        <v>737</v>
      </c>
      <c r="B86" s="21">
        <v>3</v>
      </c>
    </row>
    <row r="87" spans="1:3" x14ac:dyDescent="0.25">
      <c r="A87" s="7" t="s">
        <v>739</v>
      </c>
      <c r="B87" s="22">
        <f>AVERAGE(B88,B89,B90,B91,B92)</f>
        <v>1.2</v>
      </c>
      <c r="C87" s="22"/>
    </row>
    <row r="88" spans="1:3" x14ac:dyDescent="0.25">
      <c r="A88" s="6" t="s">
        <v>740</v>
      </c>
      <c r="B88" s="21">
        <v>1</v>
      </c>
    </row>
    <row r="89" spans="1:3" x14ac:dyDescent="0.25">
      <c r="A89" s="6" t="s">
        <v>742</v>
      </c>
      <c r="B89" s="21">
        <v>1</v>
      </c>
    </row>
    <row r="90" spans="1:3" x14ac:dyDescent="0.25">
      <c r="A90" s="6" t="s">
        <v>744</v>
      </c>
      <c r="B90" s="21">
        <v>2</v>
      </c>
    </row>
    <row r="91" spans="1:3" x14ac:dyDescent="0.25">
      <c r="A91" s="6" t="s">
        <v>746</v>
      </c>
      <c r="B91" s="21">
        <v>1</v>
      </c>
    </row>
    <row r="92" spans="1:3" x14ac:dyDescent="0.25">
      <c r="A92" s="6" t="s">
        <v>749</v>
      </c>
      <c r="B92" s="21">
        <v>1</v>
      </c>
    </row>
    <row r="93" spans="1:3" x14ac:dyDescent="0.25">
      <c r="A93" s="7" t="s">
        <v>751</v>
      </c>
      <c r="B93" s="22">
        <f>AVERAGE(B94,B95,B96,B97)</f>
        <v>2.5</v>
      </c>
      <c r="C93" s="22"/>
    </row>
    <row r="94" spans="1:3" x14ac:dyDescent="0.25">
      <c r="A94" s="6" t="s">
        <v>752</v>
      </c>
      <c r="B94" s="21">
        <v>3</v>
      </c>
    </row>
    <row r="95" spans="1:3" x14ac:dyDescent="0.25">
      <c r="A95" s="6" t="s">
        <v>755</v>
      </c>
      <c r="B95" s="21">
        <v>2</v>
      </c>
    </row>
    <row r="96" spans="1:3" x14ac:dyDescent="0.25">
      <c r="A96" s="6" t="s">
        <v>758</v>
      </c>
      <c r="B96" s="21">
        <v>2</v>
      </c>
    </row>
    <row r="97" spans="1:3" x14ac:dyDescent="0.25">
      <c r="A97" s="6" t="s">
        <v>760</v>
      </c>
      <c r="B97" s="21">
        <v>3</v>
      </c>
    </row>
    <row r="98" spans="1:3" x14ac:dyDescent="0.25">
      <c r="A98" s="7" t="s">
        <v>762</v>
      </c>
      <c r="B98" s="22">
        <f>AVERAGE(B99,B100,B101,B102)</f>
        <v>1.5</v>
      </c>
      <c r="C98" s="22" t="s">
        <v>499</v>
      </c>
    </row>
    <row r="99" spans="1:3" x14ac:dyDescent="0.25">
      <c r="A99" s="6" t="s">
        <v>763</v>
      </c>
      <c r="B99" s="21">
        <v>1</v>
      </c>
    </row>
    <row r="100" spans="1:3" x14ac:dyDescent="0.25">
      <c r="A100" s="6" t="s">
        <v>765</v>
      </c>
      <c r="B100" s="21">
        <v>1</v>
      </c>
    </row>
    <row r="101" spans="1:3" x14ac:dyDescent="0.25">
      <c r="A101" s="6" t="s">
        <v>767</v>
      </c>
      <c r="B101" s="21">
        <v>1</v>
      </c>
    </row>
    <row r="102" spans="1:3" x14ac:dyDescent="0.25">
      <c r="A102" s="6" t="s">
        <v>770</v>
      </c>
      <c r="B102" s="21">
        <v>3</v>
      </c>
    </row>
    <row r="103" spans="1:3" x14ac:dyDescent="0.25">
      <c r="A103" s="7" t="s">
        <v>773</v>
      </c>
      <c r="B103" s="22">
        <f>AVERAGE(B104:B109)</f>
        <v>1.8333333333333333</v>
      </c>
      <c r="C103" s="22"/>
    </row>
    <row r="104" spans="1:3" x14ac:dyDescent="0.25">
      <c r="A104" s="6" t="s">
        <v>774</v>
      </c>
      <c r="B104" s="21">
        <v>1</v>
      </c>
    </row>
    <row r="105" spans="1:3" x14ac:dyDescent="0.25">
      <c r="A105" s="6" t="s">
        <v>776</v>
      </c>
      <c r="B105" s="21">
        <v>2</v>
      </c>
    </row>
    <row r="106" spans="1:3" x14ac:dyDescent="0.25">
      <c r="A106" s="6" t="s">
        <v>779</v>
      </c>
      <c r="B106" s="21">
        <v>2</v>
      </c>
    </row>
    <row r="107" spans="1:3" x14ac:dyDescent="0.25">
      <c r="A107" s="6" t="s">
        <v>782</v>
      </c>
      <c r="B107" s="21">
        <v>2</v>
      </c>
    </row>
    <row r="108" spans="1:3" x14ac:dyDescent="0.25">
      <c r="A108" s="6" t="s">
        <v>784</v>
      </c>
      <c r="B108" s="21">
        <v>2</v>
      </c>
    </row>
    <row r="109" spans="1:3" x14ac:dyDescent="0.25">
      <c r="A109" s="6" t="s">
        <v>786</v>
      </c>
      <c r="B109" s="21">
        <v>2</v>
      </c>
    </row>
    <row r="110" spans="1:3" x14ac:dyDescent="0.25">
      <c r="A110" s="7" t="s">
        <v>788</v>
      </c>
      <c r="B110" s="22">
        <f>AVERAGE(B111:B116)</f>
        <v>2.1666666666666665</v>
      </c>
      <c r="C110" s="22"/>
    </row>
    <row r="111" spans="1:3" x14ac:dyDescent="0.25">
      <c r="A111" s="6" t="s">
        <v>789</v>
      </c>
      <c r="B111" s="21">
        <v>1</v>
      </c>
    </row>
    <row r="112" spans="1:3" x14ac:dyDescent="0.25">
      <c r="A112" s="6" t="s">
        <v>791</v>
      </c>
      <c r="B112" s="21">
        <v>2</v>
      </c>
    </row>
    <row r="113" spans="1:3" x14ac:dyDescent="0.25">
      <c r="A113" s="6" t="s">
        <v>793</v>
      </c>
      <c r="B113" s="21">
        <v>2</v>
      </c>
    </row>
    <row r="114" spans="1:3" x14ac:dyDescent="0.25">
      <c r="A114" s="6" t="s">
        <v>795</v>
      </c>
      <c r="B114" s="21">
        <v>2</v>
      </c>
    </row>
    <row r="115" spans="1:3" x14ac:dyDescent="0.25">
      <c r="A115" s="6" t="s">
        <v>797</v>
      </c>
      <c r="B115" s="21">
        <v>2</v>
      </c>
    </row>
    <row r="116" spans="1:3" x14ac:dyDescent="0.25">
      <c r="A116" s="6" t="s">
        <v>799</v>
      </c>
      <c r="B116" s="21">
        <v>4</v>
      </c>
    </row>
    <row r="117" spans="1:3" x14ac:dyDescent="0.25">
      <c r="A117" s="7" t="s">
        <v>801</v>
      </c>
      <c r="B117" s="22">
        <f>AVERAGE(B118:B123)</f>
        <v>1.5</v>
      </c>
      <c r="C117" s="22" t="s">
        <v>499</v>
      </c>
    </row>
    <row r="118" spans="1:3" x14ac:dyDescent="0.25">
      <c r="A118" s="6" t="s">
        <v>802</v>
      </c>
      <c r="B118" s="21">
        <v>1</v>
      </c>
    </row>
    <row r="119" spans="1:3" x14ac:dyDescent="0.25">
      <c r="A119" s="6" t="s">
        <v>804</v>
      </c>
      <c r="B119" s="21">
        <v>1</v>
      </c>
    </row>
    <row r="120" spans="1:3" x14ac:dyDescent="0.25">
      <c r="A120" s="6" t="s">
        <v>806</v>
      </c>
      <c r="B120" s="21">
        <v>2</v>
      </c>
    </row>
    <row r="121" spans="1:3" x14ac:dyDescent="0.25">
      <c r="A121" s="6" t="s">
        <v>808</v>
      </c>
      <c r="B121" s="21">
        <v>2</v>
      </c>
    </row>
    <row r="122" spans="1:3" x14ac:dyDescent="0.25">
      <c r="A122" s="6" t="s">
        <v>810</v>
      </c>
      <c r="B122" s="21">
        <v>1</v>
      </c>
    </row>
    <row r="123" spans="1:3" x14ac:dyDescent="0.25">
      <c r="A123" s="6" t="s">
        <v>813</v>
      </c>
      <c r="B123" s="2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2DDB-8D6B-40D4-9A99-89FB1E165DAB}">
  <sheetPr>
    <tabColor theme="4" tint="0.79998168889431442"/>
  </sheetPr>
  <dimension ref="A1:N77"/>
  <sheetViews>
    <sheetView zoomScale="85" zoomScaleNormal="85" workbookViewId="0">
      <selection activeCell="C5" sqref="C5"/>
    </sheetView>
  </sheetViews>
  <sheetFormatPr defaultColWidth="10.75" defaultRowHeight="12.75" x14ac:dyDescent="0.2"/>
  <cols>
    <col min="1" max="1" width="76.25" style="6" bestFit="1" customWidth="1"/>
    <col min="2" max="2" width="70.625" style="6" bestFit="1" customWidth="1"/>
    <col min="3" max="3" width="76.25" style="6" bestFit="1" customWidth="1"/>
    <col min="4" max="4" width="90.625" style="6" bestFit="1" customWidth="1"/>
    <col min="5" max="5" width="27.5" style="6" bestFit="1" customWidth="1"/>
    <col min="6" max="6" width="18.375" style="6" bestFit="1" customWidth="1"/>
    <col min="7" max="7" width="17.125" style="6" bestFit="1" customWidth="1"/>
    <col min="8" max="8" width="10.375" style="6" bestFit="1" customWidth="1"/>
    <col min="9" max="9" width="23.25" style="35" bestFit="1" customWidth="1"/>
    <col min="10" max="10" width="19.75" style="6" customWidth="1"/>
    <col min="11" max="11" width="20" style="6" customWidth="1"/>
    <col min="12" max="12" width="70.5" style="16" bestFit="1" customWidth="1"/>
    <col min="13" max="13" width="10.75" style="6"/>
    <col min="14" max="14" width="9" style="21" bestFit="1" customWidth="1"/>
    <col min="15" max="16384" width="10.75" style="6"/>
  </cols>
  <sheetData>
    <row r="1" spans="1:14" x14ac:dyDescent="0.2">
      <c r="A1" s="3" t="s">
        <v>367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3" t="s">
        <v>44</v>
      </c>
      <c r="J1" s="47" t="s">
        <v>45</v>
      </c>
      <c r="K1" s="47"/>
      <c r="L1" s="14" t="s">
        <v>46</v>
      </c>
      <c r="N1" s="5" t="s">
        <v>368</v>
      </c>
    </row>
    <row r="2" spans="1:14" s="8" customFormat="1" x14ac:dyDescent="0.2">
      <c r="A2" s="7" t="s">
        <v>815</v>
      </c>
      <c r="C2" s="7"/>
      <c r="I2" s="34">
        <f>AVERAGE(I3,I4,I5,I6,I7)</f>
        <v>2.8</v>
      </c>
      <c r="L2" s="15"/>
      <c r="N2" s="22">
        <v>1</v>
      </c>
    </row>
    <row r="3" spans="1:14" x14ac:dyDescent="0.2">
      <c r="A3" s="6" t="s">
        <v>816</v>
      </c>
      <c r="C3" s="6" t="s">
        <v>816</v>
      </c>
      <c r="D3" s="48" t="s">
        <v>817</v>
      </c>
      <c r="E3" s="6" t="s">
        <v>51</v>
      </c>
      <c r="F3" s="6" t="s">
        <v>66</v>
      </c>
      <c r="G3" s="6" t="s">
        <v>369</v>
      </c>
      <c r="H3" s="6" t="s">
        <v>370</v>
      </c>
      <c r="I3" s="35">
        <v>3</v>
      </c>
      <c r="J3" s="6" t="s">
        <v>370</v>
      </c>
      <c r="N3" s="21">
        <v>1</v>
      </c>
    </row>
    <row r="4" spans="1:14" x14ac:dyDescent="0.2">
      <c r="A4" s="6" t="s">
        <v>936</v>
      </c>
      <c r="C4" s="6" t="s">
        <v>936</v>
      </c>
      <c r="D4" s="49"/>
      <c r="E4" s="6" t="s">
        <v>51</v>
      </c>
      <c r="F4" s="6" t="s">
        <v>66</v>
      </c>
      <c r="G4" s="6" t="s">
        <v>369</v>
      </c>
      <c r="H4" s="6" t="s">
        <v>370</v>
      </c>
      <c r="I4" s="35">
        <v>3</v>
      </c>
      <c r="J4" s="6" t="s">
        <v>370</v>
      </c>
      <c r="N4" s="21">
        <v>1</v>
      </c>
    </row>
    <row r="5" spans="1:14" x14ac:dyDescent="0.2">
      <c r="A5" s="6" t="s">
        <v>819</v>
      </c>
      <c r="C5" s="6" t="s">
        <v>819</v>
      </c>
      <c r="D5" s="49"/>
      <c r="E5" s="6" t="s">
        <v>51</v>
      </c>
      <c r="F5" s="6" t="s">
        <v>66</v>
      </c>
      <c r="G5" s="6" t="s">
        <v>369</v>
      </c>
      <c r="H5" s="6" t="s">
        <v>370</v>
      </c>
      <c r="I5" s="35">
        <v>3</v>
      </c>
      <c r="J5" s="6" t="s">
        <v>370</v>
      </c>
      <c r="N5" s="21">
        <v>1</v>
      </c>
    </row>
    <row r="6" spans="1:14" x14ac:dyDescent="0.2">
      <c r="A6" s="6" t="s">
        <v>820</v>
      </c>
      <c r="C6" s="6" t="s">
        <v>820</v>
      </c>
      <c r="D6" s="49"/>
      <c r="E6" s="6" t="s">
        <v>51</v>
      </c>
      <c r="F6" s="6" t="s">
        <v>66</v>
      </c>
      <c r="G6" s="6" t="s">
        <v>369</v>
      </c>
      <c r="H6" s="6" t="s">
        <v>370</v>
      </c>
      <c r="I6" s="35">
        <v>3</v>
      </c>
      <c r="J6" s="6" t="s">
        <v>370</v>
      </c>
      <c r="N6" s="21">
        <v>1</v>
      </c>
    </row>
    <row r="7" spans="1:14" x14ac:dyDescent="0.2">
      <c r="A7" s="6" t="s">
        <v>821</v>
      </c>
      <c r="C7" s="6" t="s">
        <v>821</v>
      </c>
      <c r="D7" s="50"/>
      <c r="E7" s="6" t="s">
        <v>51</v>
      </c>
      <c r="F7" s="6" t="s">
        <v>66</v>
      </c>
      <c r="G7" s="6" t="s">
        <v>369</v>
      </c>
      <c r="H7" s="6" t="s">
        <v>370</v>
      </c>
      <c r="I7" s="35">
        <v>2</v>
      </c>
      <c r="J7" s="6" t="s">
        <v>370</v>
      </c>
      <c r="N7" s="21">
        <v>1</v>
      </c>
    </row>
    <row r="8" spans="1:14" s="8" customFormat="1" x14ac:dyDescent="0.2">
      <c r="A8" s="7" t="s">
        <v>822</v>
      </c>
      <c r="C8" s="7"/>
      <c r="G8" s="19"/>
      <c r="I8" s="34">
        <f>AVERAGE(I9:I13)</f>
        <v>2</v>
      </c>
      <c r="L8" s="15"/>
      <c r="N8" s="22" t="s">
        <v>823</v>
      </c>
    </row>
    <row r="9" spans="1:14" ht="14.25" x14ac:dyDescent="0.25">
      <c r="A9" s="23" t="s">
        <v>824</v>
      </c>
      <c r="B9" s="29"/>
      <c r="C9" s="23" t="s">
        <v>824</v>
      </c>
      <c r="D9" s="51" t="s">
        <v>825</v>
      </c>
      <c r="E9" s="6" t="s">
        <v>51</v>
      </c>
      <c r="F9" s="6" t="s">
        <v>52</v>
      </c>
      <c r="G9" s="6" t="s">
        <v>369</v>
      </c>
      <c r="H9" s="6" t="s">
        <v>370</v>
      </c>
      <c r="I9" s="35">
        <v>2</v>
      </c>
      <c r="J9" s="6" t="s">
        <v>370</v>
      </c>
      <c r="N9" s="21">
        <v>4</v>
      </c>
    </row>
    <row r="10" spans="1:14" x14ac:dyDescent="0.2">
      <c r="A10" s="23" t="s">
        <v>826</v>
      </c>
      <c r="C10" s="23" t="s">
        <v>826</v>
      </c>
      <c r="D10" s="52"/>
      <c r="E10" s="6" t="s">
        <v>51</v>
      </c>
      <c r="F10" s="6" t="s">
        <v>52</v>
      </c>
      <c r="G10" s="6" t="s">
        <v>369</v>
      </c>
      <c r="H10" s="6" t="s">
        <v>370</v>
      </c>
      <c r="I10" s="35">
        <v>2</v>
      </c>
      <c r="J10" s="6" t="s">
        <v>370</v>
      </c>
      <c r="N10" s="21">
        <v>4</v>
      </c>
    </row>
    <row r="11" spans="1:14" x14ac:dyDescent="0.2">
      <c r="A11" s="23" t="s">
        <v>827</v>
      </c>
      <c r="C11" s="23" t="s">
        <v>827</v>
      </c>
      <c r="D11" s="52"/>
      <c r="E11" s="6" t="s">
        <v>51</v>
      </c>
      <c r="F11" s="6" t="s">
        <v>52</v>
      </c>
      <c r="G11" s="6" t="s">
        <v>369</v>
      </c>
      <c r="H11" s="6" t="s">
        <v>370</v>
      </c>
      <c r="I11" s="35">
        <v>2</v>
      </c>
      <c r="J11" s="6" t="s">
        <v>370</v>
      </c>
      <c r="N11" s="21">
        <v>4</v>
      </c>
    </row>
    <row r="12" spans="1:14" x14ac:dyDescent="0.2">
      <c r="A12" s="23" t="s">
        <v>828</v>
      </c>
      <c r="C12" s="23" t="s">
        <v>828</v>
      </c>
      <c r="D12" s="52"/>
      <c r="E12" s="6" t="s">
        <v>51</v>
      </c>
      <c r="F12" s="6" t="s">
        <v>52</v>
      </c>
      <c r="G12" s="6" t="s">
        <v>369</v>
      </c>
      <c r="H12" s="6" t="s">
        <v>499</v>
      </c>
      <c r="I12" s="35">
        <v>2</v>
      </c>
      <c r="J12" s="6" t="s">
        <v>370</v>
      </c>
      <c r="N12" s="21">
        <v>4</v>
      </c>
    </row>
    <row r="13" spans="1:14" x14ac:dyDescent="0.2">
      <c r="A13" s="23" t="s">
        <v>829</v>
      </c>
      <c r="C13" s="23" t="s">
        <v>829</v>
      </c>
      <c r="D13" s="53"/>
      <c r="E13" s="6" t="s">
        <v>51</v>
      </c>
      <c r="F13" s="6" t="s">
        <v>52</v>
      </c>
      <c r="G13" s="6" t="s">
        <v>369</v>
      </c>
      <c r="H13" s="6" t="s">
        <v>499</v>
      </c>
      <c r="I13" s="35">
        <v>2</v>
      </c>
      <c r="J13" s="6" t="s">
        <v>499</v>
      </c>
      <c r="L13" s="16" t="s">
        <v>830</v>
      </c>
      <c r="N13" s="21">
        <v>3</v>
      </c>
    </row>
    <row r="14" spans="1:14" s="8" customFormat="1" x14ac:dyDescent="0.2">
      <c r="A14" s="7" t="s">
        <v>831</v>
      </c>
      <c r="C14" s="7"/>
      <c r="D14" s="27"/>
      <c r="G14" s="19"/>
      <c r="I14" s="34">
        <f>AVERAGE(I15:I22)</f>
        <v>3.375</v>
      </c>
      <c r="L14" s="15"/>
      <c r="N14" s="22" t="s">
        <v>832</v>
      </c>
    </row>
    <row r="15" spans="1:14" x14ac:dyDescent="0.2">
      <c r="A15" s="6" t="s">
        <v>833</v>
      </c>
      <c r="C15" s="13" t="s">
        <v>833</v>
      </c>
      <c r="D15" s="51" t="s">
        <v>834</v>
      </c>
      <c r="E15" s="16" t="s">
        <v>51</v>
      </c>
      <c r="F15" s="6" t="s">
        <v>66</v>
      </c>
      <c r="G15" s="6" t="s">
        <v>369</v>
      </c>
      <c r="H15" s="6" t="s">
        <v>370</v>
      </c>
      <c r="I15" s="35">
        <v>3</v>
      </c>
      <c r="J15" s="6" t="s">
        <v>370</v>
      </c>
      <c r="N15" s="21">
        <v>4</v>
      </c>
    </row>
    <row r="16" spans="1:14" x14ac:dyDescent="0.2">
      <c r="A16" s="6" t="s">
        <v>835</v>
      </c>
      <c r="C16" s="13" t="s">
        <v>835</v>
      </c>
      <c r="D16" s="52"/>
      <c r="E16" s="16" t="s">
        <v>51</v>
      </c>
      <c r="F16" s="6" t="s">
        <v>66</v>
      </c>
      <c r="G16" s="6" t="s">
        <v>369</v>
      </c>
      <c r="H16" s="6" t="s">
        <v>370</v>
      </c>
      <c r="I16" s="35">
        <v>3</v>
      </c>
      <c r="J16" s="6" t="s">
        <v>370</v>
      </c>
      <c r="N16" s="21">
        <v>2</v>
      </c>
    </row>
    <row r="17" spans="1:14" x14ac:dyDescent="0.2">
      <c r="A17" s="6" t="s">
        <v>836</v>
      </c>
      <c r="C17" s="13" t="s">
        <v>836</v>
      </c>
      <c r="D17" s="52"/>
      <c r="E17" s="16" t="s">
        <v>51</v>
      </c>
      <c r="F17" s="6" t="s">
        <v>66</v>
      </c>
      <c r="G17" s="6" t="s">
        <v>369</v>
      </c>
      <c r="H17" s="6" t="s">
        <v>370</v>
      </c>
      <c r="I17" s="35">
        <v>3</v>
      </c>
      <c r="J17" s="6" t="s">
        <v>370</v>
      </c>
      <c r="L17" s="16" t="s">
        <v>837</v>
      </c>
      <c r="N17" s="21">
        <v>2</v>
      </c>
    </row>
    <row r="18" spans="1:14" x14ac:dyDescent="0.2">
      <c r="A18" s="6" t="s">
        <v>838</v>
      </c>
      <c r="C18" s="13" t="s">
        <v>838</v>
      </c>
      <c r="D18" s="52"/>
      <c r="E18" s="16" t="s">
        <v>51</v>
      </c>
      <c r="F18" s="6" t="s">
        <v>66</v>
      </c>
      <c r="G18" s="6" t="s">
        <v>369</v>
      </c>
      <c r="H18" s="6" t="s">
        <v>370</v>
      </c>
      <c r="I18" s="35">
        <v>4</v>
      </c>
      <c r="J18" s="6" t="s">
        <v>370</v>
      </c>
      <c r="N18" s="21">
        <v>3</v>
      </c>
    </row>
    <row r="19" spans="1:14" x14ac:dyDescent="0.2">
      <c r="A19" s="6" t="s">
        <v>839</v>
      </c>
      <c r="C19" s="13" t="s">
        <v>839</v>
      </c>
      <c r="D19" s="52"/>
      <c r="E19" s="16" t="s">
        <v>51</v>
      </c>
      <c r="F19" s="6" t="s">
        <v>66</v>
      </c>
      <c r="G19" s="6" t="s">
        <v>369</v>
      </c>
      <c r="H19" s="6" t="s">
        <v>499</v>
      </c>
      <c r="I19" s="35">
        <v>3</v>
      </c>
      <c r="J19" s="6" t="s">
        <v>370</v>
      </c>
      <c r="N19" s="21">
        <v>3</v>
      </c>
    </row>
    <row r="20" spans="1:14" x14ac:dyDescent="0.2">
      <c r="A20" s="6" t="s">
        <v>840</v>
      </c>
      <c r="C20" s="13" t="s">
        <v>840</v>
      </c>
      <c r="D20" s="52"/>
      <c r="E20" s="16" t="s">
        <v>51</v>
      </c>
      <c r="F20" s="6" t="s">
        <v>66</v>
      </c>
      <c r="G20" s="6" t="s">
        <v>369</v>
      </c>
      <c r="H20" s="6" t="s">
        <v>370</v>
      </c>
      <c r="I20" s="35">
        <v>3</v>
      </c>
      <c r="J20" s="6" t="s">
        <v>370</v>
      </c>
      <c r="N20" s="21">
        <v>4</v>
      </c>
    </row>
    <row r="21" spans="1:14" x14ac:dyDescent="0.2">
      <c r="B21" s="6" t="s">
        <v>841</v>
      </c>
      <c r="C21" s="13" t="s">
        <v>842</v>
      </c>
      <c r="D21" s="52"/>
      <c r="E21" s="16" t="s">
        <v>51</v>
      </c>
      <c r="F21" s="6" t="s">
        <v>66</v>
      </c>
      <c r="G21" s="6" t="s">
        <v>369</v>
      </c>
      <c r="H21" s="6" t="s">
        <v>370</v>
      </c>
      <c r="I21" s="35">
        <v>4</v>
      </c>
      <c r="J21" s="6" t="s">
        <v>370</v>
      </c>
      <c r="N21" s="21">
        <v>4</v>
      </c>
    </row>
    <row r="22" spans="1:14" x14ac:dyDescent="0.2">
      <c r="B22" s="6" t="s">
        <v>843</v>
      </c>
      <c r="C22" s="13" t="s">
        <v>844</v>
      </c>
      <c r="D22" s="53"/>
      <c r="E22" s="16" t="s">
        <v>51</v>
      </c>
      <c r="F22" s="6" t="s">
        <v>66</v>
      </c>
      <c r="G22" s="6" t="s">
        <v>369</v>
      </c>
      <c r="H22" s="6" t="s">
        <v>370</v>
      </c>
      <c r="I22" s="35">
        <v>4</v>
      </c>
      <c r="J22" s="6" t="s">
        <v>370</v>
      </c>
      <c r="N22" s="21">
        <v>3</v>
      </c>
    </row>
    <row r="23" spans="1:14" s="8" customFormat="1" x14ac:dyDescent="0.2">
      <c r="A23" s="7" t="s">
        <v>845</v>
      </c>
      <c r="C23" s="7"/>
      <c r="D23" s="28"/>
      <c r="G23" s="19"/>
      <c r="I23" s="34">
        <f>AVERAGE(I24:I28)</f>
        <v>3.4</v>
      </c>
      <c r="L23" s="15"/>
      <c r="N23" s="22" t="s">
        <v>846</v>
      </c>
    </row>
    <row r="24" spans="1:14" x14ac:dyDescent="0.2">
      <c r="A24" s="6" t="s">
        <v>847</v>
      </c>
      <c r="C24" s="6" t="s">
        <v>847</v>
      </c>
      <c r="D24" s="48" t="s">
        <v>848</v>
      </c>
      <c r="E24" s="6" t="s">
        <v>51</v>
      </c>
      <c r="F24" s="6" t="s">
        <v>66</v>
      </c>
      <c r="G24" s="6" t="s">
        <v>369</v>
      </c>
      <c r="H24" s="6" t="s">
        <v>370</v>
      </c>
      <c r="I24" s="35">
        <v>3</v>
      </c>
      <c r="J24" s="6" t="s">
        <v>370</v>
      </c>
      <c r="N24" s="21">
        <v>4</v>
      </c>
    </row>
    <row r="25" spans="1:14" x14ac:dyDescent="0.2">
      <c r="A25" s="6" t="s">
        <v>849</v>
      </c>
      <c r="C25" s="6" t="s">
        <v>849</v>
      </c>
      <c r="D25" s="49"/>
      <c r="E25" s="6" t="s">
        <v>51</v>
      </c>
      <c r="F25" s="6" t="s">
        <v>66</v>
      </c>
      <c r="G25" s="6" t="s">
        <v>369</v>
      </c>
      <c r="H25" s="6" t="s">
        <v>370</v>
      </c>
      <c r="I25" s="35">
        <v>3</v>
      </c>
      <c r="J25" s="6" t="s">
        <v>370</v>
      </c>
      <c r="N25" s="21">
        <v>2</v>
      </c>
    </row>
    <row r="26" spans="1:14" x14ac:dyDescent="0.2">
      <c r="A26" s="6" t="s">
        <v>850</v>
      </c>
      <c r="C26" s="6" t="s">
        <v>850</v>
      </c>
      <c r="D26" s="49"/>
      <c r="E26" s="6" t="s">
        <v>51</v>
      </c>
      <c r="F26" s="6" t="s">
        <v>66</v>
      </c>
      <c r="G26" s="6" t="s">
        <v>369</v>
      </c>
      <c r="H26" s="6" t="s">
        <v>370</v>
      </c>
      <c r="I26" s="35">
        <v>3</v>
      </c>
      <c r="J26" s="6" t="s">
        <v>370</v>
      </c>
      <c r="N26" s="21">
        <v>2</v>
      </c>
    </row>
    <row r="27" spans="1:14" x14ac:dyDescent="0.2">
      <c r="A27" s="6" t="s">
        <v>851</v>
      </c>
      <c r="C27" s="6" t="s">
        <v>851</v>
      </c>
      <c r="D27" s="49"/>
      <c r="E27" s="6" t="s">
        <v>51</v>
      </c>
      <c r="F27" s="6" t="s">
        <v>66</v>
      </c>
      <c r="G27" s="6" t="s">
        <v>369</v>
      </c>
      <c r="H27" s="6" t="s">
        <v>370</v>
      </c>
      <c r="I27" s="35">
        <v>4</v>
      </c>
      <c r="J27" s="6" t="s">
        <v>370</v>
      </c>
      <c r="N27" s="21">
        <v>1</v>
      </c>
    </row>
    <row r="28" spans="1:14" x14ac:dyDescent="0.2">
      <c r="A28" s="6" t="s">
        <v>852</v>
      </c>
      <c r="C28" s="6" t="s">
        <v>852</v>
      </c>
      <c r="D28" s="49"/>
      <c r="E28" s="6" t="s">
        <v>51</v>
      </c>
      <c r="F28" s="6" t="s">
        <v>66</v>
      </c>
      <c r="G28" s="6" t="s">
        <v>369</v>
      </c>
      <c r="H28" s="6" t="s">
        <v>370</v>
      </c>
      <c r="I28" s="35">
        <v>4</v>
      </c>
      <c r="J28" s="6" t="s">
        <v>370</v>
      </c>
      <c r="N28" s="21">
        <v>2</v>
      </c>
    </row>
    <row r="29" spans="1:14" s="8" customFormat="1" x14ac:dyDescent="0.2">
      <c r="A29" s="7" t="s">
        <v>853</v>
      </c>
      <c r="C29" s="7"/>
      <c r="D29" s="24"/>
      <c r="G29" s="19"/>
      <c r="I29" s="34">
        <f>AVERAGE(I30:I33)</f>
        <v>2</v>
      </c>
      <c r="L29" s="15"/>
      <c r="N29" s="22">
        <v>3</v>
      </c>
    </row>
    <row r="30" spans="1:14" x14ac:dyDescent="0.2">
      <c r="A30" s="6" t="s">
        <v>854</v>
      </c>
      <c r="C30" s="6" t="s">
        <v>855</v>
      </c>
      <c r="D30" s="48" t="s">
        <v>856</v>
      </c>
      <c r="E30" s="6" t="s">
        <v>51</v>
      </c>
      <c r="F30" s="6" t="s">
        <v>52</v>
      </c>
      <c r="G30" s="6" t="s">
        <v>369</v>
      </c>
      <c r="H30" s="6" t="s">
        <v>370</v>
      </c>
      <c r="I30" s="35">
        <v>2</v>
      </c>
      <c r="J30" s="6" t="s">
        <v>370</v>
      </c>
      <c r="L30" s="16" t="s">
        <v>857</v>
      </c>
      <c r="N30" s="21">
        <v>3</v>
      </c>
    </row>
    <row r="31" spans="1:14" x14ac:dyDescent="0.2">
      <c r="A31" s="6" t="s">
        <v>858</v>
      </c>
      <c r="C31" s="6" t="s">
        <v>858</v>
      </c>
      <c r="D31" s="49"/>
      <c r="E31" s="6" t="s">
        <v>51</v>
      </c>
      <c r="F31" s="6" t="s">
        <v>66</v>
      </c>
      <c r="G31" s="6" t="s">
        <v>369</v>
      </c>
      <c r="H31" s="6" t="s">
        <v>370</v>
      </c>
      <c r="I31" s="35">
        <v>2</v>
      </c>
      <c r="J31" s="6" t="s">
        <v>370</v>
      </c>
      <c r="N31" s="21">
        <v>2</v>
      </c>
    </row>
    <row r="32" spans="1:14" x14ac:dyDescent="0.2">
      <c r="A32" s="6" t="s">
        <v>859</v>
      </c>
      <c r="C32" s="6" t="s">
        <v>859</v>
      </c>
      <c r="D32" s="49"/>
      <c r="E32" s="6" t="s">
        <v>51</v>
      </c>
      <c r="F32" s="6" t="s">
        <v>52</v>
      </c>
      <c r="G32" s="6" t="s">
        <v>369</v>
      </c>
      <c r="H32" s="6" t="s">
        <v>499</v>
      </c>
      <c r="I32" s="35">
        <v>2</v>
      </c>
      <c r="J32" s="6" t="s">
        <v>370</v>
      </c>
      <c r="N32" s="21">
        <v>4</v>
      </c>
    </row>
    <row r="33" spans="1:14" x14ac:dyDescent="0.2">
      <c r="B33" s="6" t="s">
        <v>860</v>
      </c>
      <c r="C33" s="6" t="s">
        <v>861</v>
      </c>
      <c r="D33" s="50"/>
      <c r="E33" s="6" t="s">
        <v>51</v>
      </c>
      <c r="F33" s="6" t="s">
        <v>66</v>
      </c>
      <c r="G33" s="6" t="s">
        <v>369</v>
      </c>
      <c r="H33" s="6" t="s">
        <v>499</v>
      </c>
      <c r="I33" s="35">
        <v>2</v>
      </c>
      <c r="J33" s="6" t="s">
        <v>499</v>
      </c>
      <c r="N33" s="21">
        <v>2</v>
      </c>
    </row>
    <row r="34" spans="1:14" s="8" customFormat="1" x14ac:dyDescent="0.2">
      <c r="A34" s="7" t="s">
        <v>862</v>
      </c>
      <c r="D34" s="24"/>
      <c r="G34" s="19"/>
      <c r="I34" s="34">
        <f>AVERAGE(I35:I39)</f>
        <v>3</v>
      </c>
      <c r="L34" s="15"/>
      <c r="N34" s="22" t="s">
        <v>863</v>
      </c>
    </row>
    <row r="35" spans="1:14" x14ac:dyDescent="0.2">
      <c r="A35" s="6" t="s">
        <v>864</v>
      </c>
      <c r="C35" s="6" t="s">
        <v>864</v>
      </c>
      <c r="D35" s="48" t="s">
        <v>865</v>
      </c>
      <c r="E35" s="6" t="s">
        <v>51</v>
      </c>
      <c r="F35" s="6" t="s">
        <v>66</v>
      </c>
      <c r="G35" s="6" t="s">
        <v>369</v>
      </c>
      <c r="H35" s="6" t="s">
        <v>370</v>
      </c>
      <c r="I35" s="10">
        <v>3</v>
      </c>
      <c r="J35" s="6" t="s">
        <v>370</v>
      </c>
      <c r="L35" s="6"/>
      <c r="N35" s="21">
        <v>4</v>
      </c>
    </row>
    <row r="36" spans="1:14" x14ac:dyDescent="0.2">
      <c r="A36" s="6" t="s">
        <v>866</v>
      </c>
      <c r="C36" s="6" t="s">
        <v>866</v>
      </c>
      <c r="D36" s="49"/>
      <c r="E36" s="6" t="s">
        <v>51</v>
      </c>
      <c r="F36" s="6" t="s">
        <v>66</v>
      </c>
      <c r="G36" s="6" t="s">
        <v>369</v>
      </c>
      <c r="H36" s="6" t="s">
        <v>370</v>
      </c>
      <c r="I36" s="35">
        <v>3</v>
      </c>
      <c r="J36" s="6" t="s">
        <v>370</v>
      </c>
      <c r="N36" s="21">
        <v>3</v>
      </c>
    </row>
    <row r="37" spans="1:14" x14ac:dyDescent="0.2">
      <c r="A37" s="6" t="s">
        <v>867</v>
      </c>
      <c r="C37" s="6" t="s">
        <v>867</v>
      </c>
      <c r="D37" s="49"/>
      <c r="E37" s="6" t="s">
        <v>51</v>
      </c>
      <c r="F37" s="6" t="s">
        <v>66</v>
      </c>
      <c r="G37" s="6" t="s">
        <v>369</v>
      </c>
      <c r="H37" s="6" t="s">
        <v>370</v>
      </c>
      <c r="I37" s="35">
        <v>2</v>
      </c>
      <c r="J37" s="6" t="s">
        <v>499</v>
      </c>
      <c r="L37" s="16" t="s">
        <v>868</v>
      </c>
      <c r="N37" s="21">
        <v>3</v>
      </c>
    </row>
    <row r="38" spans="1:14" x14ac:dyDescent="0.2">
      <c r="A38" s="6" t="s">
        <v>869</v>
      </c>
      <c r="C38" s="6" t="s">
        <v>869</v>
      </c>
      <c r="D38" s="49"/>
      <c r="E38" s="6" t="s">
        <v>51</v>
      </c>
      <c r="F38" s="6" t="s">
        <v>66</v>
      </c>
      <c r="G38" s="6" t="s">
        <v>369</v>
      </c>
      <c r="H38" s="6" t="s">
        <v>370</v>
      </c>
      <c r="I38" s="35">
        <v>3</v>
      </c>
      <c r="J38" s="6" t="s">
        <v>370</v>
      </c>
      <c r="N38" s="21">
        <v>2</v>
      </c>
    </row>
    <row r="39" spans="1:14" x14ac:dyDescent="0.2">
      <c r="A39" s="6" t="s">
        <v>870</v>
      </c>
      <c r="C39" s="6" t="s">
        <v>870</v>
      </c>
      <c r="D39" s="50"/>
      <c r="E39" s="6" t="s">
        <v>51</v>
      </c>
      <c r="F39" s="6" t="s">
        <v>66</v>
      </c>
      <c r="G39" s="6" t="s">
        <v>369</v>
      </c>
      <c r="H39" s="6" t="s">
        <v>370</v>
      </c>
      <c r="I39" s="35">
        <v>4</v>
      </c>
      <c r="J39" s="6" t="s">
        <v>370</v>
      </c>
      <c r="N39" s="21">
        <v>1</v>
      </c>
    </row>
    <row r="40" spans="1:14" s="8" customFormat="1" x14ac:dyDescent="0.2">
      <c r="A40" s="7" t="s">
        <v>871</v>
      </c>
      <c r="C40" s="7"/>
      <c r="G40" s="19"/>
      <c r="I40" s="34">
        <f>AVERAGE(I41:I45)</f>
        <v>2.8</v>
      </c>
      <c r="L40" s="15"/>
      <c r="N40" s="22" t="s">
        <v>863</v>
      </c>
    </row>
    <row r="41" spans="1:14" x14ac:dyDescent="0.2">
      <c r="A41" s="6" t="s">
        <v>872</v>
      </c>
      <c r="C41" s="6" t="s">
        <v>872</v>
      </c>
      <c r="D41" s="48" t="s">
        <v>873</v>
      </c>
      <c r="E41" s="6" t="s">
        <v>51</v>
      </c>
      <c r="F41" s="6" t="s">
        <v>52</v>
      </c>
      <c r="G41" s="6" t="s">
        <v>369</v>
      </c>
      <c r="H41" s="6" t="s">
        <v>499</v>
      </c>
      <c r="I41" s="10">
        <v>3</v>
      </c>
      <c r="J41" s="6" t="s">
        <v>370</v>
      </c>
      <c r="L41" s="6"/>
      <c r="N41" s="21">
        <v>3</v>
      </c>
    </row>
    <row r="42" spans="1:14" x14ac:dyDescent="0.2">
      <c r="A42" s="6" t="s">
        <v>874</v>
      </c>
      <c r="C42" s="6" t="s">
        <v>874</v>
      </c>
      <c r="D42" s="49"/>
      <c r="E42" s="6" t="s">
        <v>51</v>
      </c>
      <c r="F42" s="6" t="s">
        <v>66</v>
      </c>
      <c r="G42" s="6" t="s">
        <v>369</v>
      </c>
      <c r="H42" s="6" t="s">
        <v>499</v>
      </c>
      <c r="I42" s="35">
        <v>3</v>
      </c>
      <c r="J42" s="6" t="s">
        <v>370</v>
      </c>
      <c r="N42" s="21">
        <v>2</v>
      </c>
    </row>
    <row r="43" spans="1:14" x14ac:dyDescent="0.2">
      <c r="A43" s="6" t="s">
        <v>875</v>
      </c>
      <c r="C43" s="6" t="s">
        <v>875</v>
      </c>
      <c r="D43" s="49"/>
      <c r="E43" s="6" t="s">
        <v>51</v>
      </c>
      <c r="F43" s="6" t="s">
        <v>52</v>
      </c>
      <c r="G43" s="6" t="s">
        <v>369</v>
      </c>
      <c r="H43" s="6" t="s">
        <v>499</v>
      </c>
      <c r="I43" s="35">
        <v>2</v>
      </c>
      <c r="J43" s="6" t="s">
        <v>370</v>
      </c>
      <c r="N43" s="21">
        <v>2</v>
      </c>
    </row>
    <row r="44" spans="1:14" x14ac:dyDescent="0.2">
      <c r="A44" s="6" t="s">
        <v>876</v>
      </c>
      <c r="C44" s="6" t="s">
        <v>876</v>
      </c>
      <c r="D44" s="49"/>
      <c r="E44" s="6" t="s">
        <v>51</v>
      </c>
      <c r="F44" s="6" t="s">
        <v>66</v>
      </c>
      <c r="G44" s="6" t="s">
        <v>369</v>
      </c>
      <c r="H44" s="6" t="s">
        <v>499</v>
      </c>
      <c r="I44" s="35">
        <v>3</v>
      </c>
      <c r="J44" s="6" t="s">
        <v>370</v>
      </c>
      <c r="N44" s="21">
        <v>3</v>
      </c>
    </row>
    <row r="45" spans="1:14" x14ac:dyDescent="0.2">
      <c r="A45" s="6" t="s">
        <v>877</v>
      </c>
      <c r="C45" s="6" t="s">
        <v>877</v>
      </c>
      <c r="D45" s="50"/>
      <c r="E45" s="6" t="s">
        <v>51</v>
      </c>
      <c r="F45" s="6" t="s">
        <v>66</v>
      </c>
      <c r="G45" s="6" t="s">
        <v>369</v>
      </c>
      <c r="H45" s="6" t="s">
        <v>499</v>
      </c>
      <c r="I45" s="35">
        <v>3</v>
      </c>
      <c r="J45" s="6" t="s">
        <v>370</v>
      </c>
      <c r="N45" s="21">
        <v>3</v>
      </c>
    </row>
    <row r="46" spans="1:14" s="8" customFormat="1" x14ac:dyDescent="0.2">
      <c r="A46" s="7" t="s">
        <v>878</v>
      </c>
      <c r="C46" s="7"/>
      <c r="G46" s="19"/>
      <c r="I46" s="34">
        <f>AVERAGE(I47:I49)</f>
        <v>2.6666666666666665</v>
      </c>
      <c r="L46" s="15"/>
      <c r="N46" s="22">
        <v>4</v>
      </c>
    </row>
    <row r="47" spans="1:14" x14ac:dyDescent="0.2">
      <c r="A47" s="6" t="s">
        <v>879</v>
      </c>
      <c r="C47" s="6" t="s">
        <v>879</v>
      </c>
      <c r="D47" s="48" t="s">
        <v>880</v>
      </c>
      <c r="E47" s="6" t="s">
        <v>51</v>
      </c>
      <c r="F47" s="6" t="s">
        <v>66</v>
      </c>
      <c r="G47" s="6" t="s">
        <v>369</v>
      </c>
      <c r="H47" s="6" t="s">
        <v>370</v>
      </c>
      <c r="I47" s="35">
        <v>2</v>
      </c>
      <c r="J47" s="6" t="s">
        <v>370</v>
      </c>
      <c r="N47" s="21">
        <v>4</v>
      </c>
    </row>
    <row r="48" spans="1:14" x14ac:dyDescent="0.2">
      <c r="A48" s="6" t="s">
        <v>881</v>
      </c>
      <c r="C48" s="6" t="s">
        <v>881</v>
      </c>
      <c r="D48" s="49"/>
      <c r="E48" s="6" t="s">
        <v>51</v>
      </c>
      <c r="F48" s="6" t="s">
        <v>66</v>
      </c>
      <c r="G48" s="6" t="s">
        <v>369</v>
      </c>
      <c r="H48" s="6" t="s">
        <v>370</v>
      </c>
      <c r="I48" s="35">
        <v>3</v>
      </c>
      <c r="J48" s="6" t="s">
        <v>370</v>
      </c>
      <c r="N48" s="21">
        <v>4</v>
      </c>
    </row>
    <row r="49" spans="1:14" x14ac:dyDescent="0.2">
      <c r="A49" s="6" t="s">
        <v>882</v>
      </c>
      <c r="C49" s="6" t="s">
        <v>882</v>
      </c>
      <c r="D49" s="49"/>
      <c r="E49" s="6" t="s">
        <v>51</v>
      </c>
      <c r="F49" s="6" t="s">
        <v>66</v>
      </c>
      <c r="G49" s="6" t="s">
        <v>369</v>
      </c>
      <c r="H49" s="6" t="s">
        <v>370</v>
      </c>
      <c r="I49" s="35">
        <v>3</v>
      </c>
      <c r="J49" s="6" t="s">
        <v>370</v>
      </c>
      <c r="N49" s="21">
        <v>4</v>
      </c>
    </row>
    <row r="50" spans="1:14" s="8" customFormat="1" x14ac:dyDescent="0.2">
      <c r="A50" s="7" t="s">
        <v>883</v>
      </c>
      <c r="C50" s="7"/>
      <c r="G50" s="19"/>
      <c r="I50" s="34">
        <f>AVERAGE(I51:I55)</f>
        <v>2.8</v>
      </c>
      <c r="L50" s="15"/>
      <c r="N50" s="22" t="s">
        <v>884</v>
      </c>
    </row>
    <row r="51" spans="1:14" x14ac:dyDescent="0.2">
      <c r="A51" s="6" t="s">
        <v>885</v>
      </c>
      <c r="C51" s="6" t="s">
        <v>885</v>
      </c>
      <c r="D51" s="48" t="s">
        <v>886</v>
      </c>
      <c r="E51" s="6" t="s">
        <v>51</v>
      </c>
      <c r="F51" s="6" t="s">
        <v>52</v>
      </c>
      <c r="G51" s="6" t="s">
        <v>369</v>
      </c>
      <c r="H51" s="6" t="s">
        <v>370</v>
      </c>
      <c r="I51" s="35">
        <v>3</v>
      </c>
      <c r="J51" s="6" t="s">
        <v>499</v>
      </c>
      <c r="N51" s="21">
        <v>2</v>
      </c>
    </row>
    <row r="52" spans="1:14" x14ac:dyDescent="0.2">
      <c r="A52" s="6" t="s">
        <v>887</v>
      </c>
      <c r="C52" s="6" t="s">
        <v>887</v>
      </c>
      <c r="D52" s="49"/>
      <c r="E52" s="6" t="s">
        <v>51</v>
      </c>
      <c r="F52" s="6" t="s">
        <v>66</v>
      </c>
      <c r="G52" s="6" t="s">
        <v>369</v>
      </c>
      <c r="H52" s="6" t="s">
        <v>370</v>
      </c>
      <c r="I52" s="35">
        <v>2</v>
      </c>
      <c r="J52" s="6" t="s">
        <v>370</v>
      </c>
      <c r="N52" s="21">
        <v>3</v>
      </c>
    </row>
    <row r="53" spans="1:14" x14ac:dyDescent="0.2">
      <c r="A53" s="6" t="s">
        <v>888</v>
      </c>
      <c r="C53" s="6" t="s">
        <v>888</v>
      </c>
      <c r="D53" s="49"/>
      <c r="E53" s="6" t="s">
        <v>51</v>
      </c>
      <c r="F53" s="6" t="s">
        <v>66</v>
      </c>
      <c r="G53" s="6" t="s">
        <v>369</v>
      </c>
      <c r="H53" s="6" t="s">
        <v>370</v>
      </c>
      <c r="I53" s="35">
        <v>3</v>
      </c>
      <c r="J53" s="6" t="s">
        <v>370</v>
      </c>
      <c r="N53" s="21">
        <v>4</v>
      </c>
    </row>
    <row r="54" spans="1:14" x14ac:dyDescent="0.2">
      <c r="A54" s="6" t="s">
        <v>889</v>
      </c>
      <c r="C54" s="6" t="s">
        <v>889</v>
      </c>
      <c r="D54" s="49"/>
      <c r="E54" s="6" t="s">
        <v>51</v>
      </c>
      <c r="F54" s="6" t="s">
        <v>52</v>
      </c>
      <c r="G54" s="6" t="s">
        <v>369</v>
      </c>
      <c r="H54" s="6" t="s">
        <v>370</v>
      </c>
      <c r="I54" s="35">
        <v>2</v>
      </c>
      <c r="J54" s="6" t="s">
        <v>499</v>
      </c>
      <c r="L54" s="16" t="s">
        <v>890</v>
      </c>
      <c r="N54" s="21">
        <v>2</v>
      </c>
    </row>
    <row r="55" spans="1:14" x14ac:dyDescent="0.2">
      <c r="B55" s="6" t="s">
        <v>891</v>
      </c>
      <c r="C55" s="6" t="s">
        <v>892</v>
      </c>
      <c r="D55" s="49"/>
      <c r="E55" s="6" t="s">
        <v>51</v>
      </c>
      <c r="F55" s="6" t="s">
        <v>52</v>
      </c>
      <c r="G55" s="6" t="s">
        <v>369</v>
      </c>
      <c r="H55" s="6" t="s">
        <v>370</v>
      </c>
      <c r="I55" s="35">
        <v>4</v>
      </c>
      <c r="J55" s="6" t="s">
        <v>370</v>
      </c>
      <c r="N55" s="21">
        <v>3</v>
      </c>
    </row>
    <row r="56" spans="1:14" s="8" customFormat="1" x14ac:dyDescent="0.2">
      <c r="A56" s="7" t="s">
        <v>893</v>
      </c>
      <c r="C56" s="7"/>
      <c r="G56" s="19"/>
      <c r="I56" s="34">
        <f>AVERAGE(I57:I60)</f>
        <v>3.5</v>
      </c>
      <c r="L56" s="15"/>
      <c r="N56" s="22" t="s">
        <v>894</v>
      </c>
    </row>
    <row r="57" spans="1:14" x14ac:dyDescent="0.2">
      <c r="A57" s="6" t="s">
        <v>895</v>
      </c>
      <c r="C57" s="6" t="s">
        <v>895</v>
      </c>
      <c r="D57" s="48" t="s">
        <v>896</v>
      </c>
      <c r="E57" s="6" t="s">
        <v>51</v>
      </c>
      <c r="F57" s="6" t="s">
        <v>66</v>
      </c>
      <c r="G57" s="6" t="s">
        <v>369</v>
      </c>
      <c r="H57" s="6" t="s">
        <v>370</v>
      </c>
      <c r="I57" s="35">
        <v>2</v>
      </c>
      <c r="J57" s="6" t="s">
        <v>370</v>
      </c>
      <c r="L57" s="16" t="s">
        <v>897</v>
      </c>
      <c r="N57" s="21">
        <v>4</v>
      </c>
    </row>
    <row r="58" spans="1:14" x14ac:dyDescent="0.2">
      <c r="A58" s="6" t="s">
        <v>898</v>
      </c>
      <c r="C58" s="6" t="s">
        <v>898</v>
      </c>
      <c r="D58" s="49"/>
      <c r="E58" s="6" t="s">
        <v>51</v>
      </c>
      <c r="F58" s="6" t="s">
        <v>66</v>
      </c>
      <c r="G58" s="6" t="s">
        <v>369</v>
      </c>
      <c r="H58" s="6" t="s">
        <v>370</v>
      </c>
      <c r="I58" s="35">
        <v>4</v>
      </c>
      <c r="J58" s="6" t="s">
        <v>370</v>
      </c>
      <c r="N58" s="21">
        <v>1</v>
      </c>
    </row>
    <row r="59" spans="1:14" x14ac:dyDescent="0.2">
      <c r="A59" s="6" t="s">
        <v>899</v>
      </c>
      <c r="C59" s="6" t="s">
        <v>899</v>
      </c>
      <c r="D59" s="49"/>
      <c r="E59" s="6" t="s">
        <v>51</v>
      </c>
      <c r="F59" s="6" t="s">
        <v>66</v>
      </c>
      <c r="G59" s="6" t="s">
        <v>369</v>
      </c>
      <c r="H59" s="6" t="s">
        <v>370</v>
      </c>
      <c r="I59" s="35">
        <v>4</v>
      </c>
      <c r="J59" s="6" t="s">
        <v>370</v>
      </c>
      <c r="N59" s="21">
        <v>2</v>
      </c>
    </row>
    <row r="60" spans="1:14" x14ac:dyDescent="0.2">
      <c r="A60" s="6" t="s">
        <v>900</v>
      </c>
      <c r="C60" s="6" t="s">
        <v>900</v>
      </c>
      <c r="D60" s="50"/>
      <c r="E60" s="6" t="s">
        <v>51</v>
      </c>
      <c r="F60" s="6" t="s">
        <v>66</v>
      </c>
      <c r="G60" s="6" t="s">
        <v>369</v>
      </c>
      <c r="H60" s="6" t="s">
        <v>499</v>
      </c>
      <c r="I60" s="35">
        <v>4</v>
      </c>
      <c r="J60" s="6" t="s">
        <v>499</v>
      </c>
      <c r="N60" s="21">
        <v>3</v>
      </c>
    </row>
    <row r="61" spans="1:14" s="8" customFormat="1" x14ac:dyDescent="0.2">
      <c r="A61" s="7" t="s">
        <v>901</v>
      </c>
      <c r="C61" s="7"/>
      <c r="G61" s="19"/>
      <c r="I61" s="34">
        <f>AVERAGE(I62:I66)</f>
        <v>3.4</v>
      </c>
      <c r="L61" s="15"/>
      <c r="N61" s="22" t="s">
        <v>902</v>
      </c>
    </row>
    <row r="62" spans="1:14" x14ac:dyDescent="0.2">
      <c r="A62" s="6" t="s">
        <v>903</v>
      </c>
      <c r="C62" s="6" t="s">
        <v>903</v>
      </c>
      <c r="D62" s="48" t="s">
        <v>904</v>
      </c>
      <c r="E62" s="6" t="s">
        <v>51</v>
      </c>
      <c r="F62" s="6" t="s">
        <v>66</v>
      </c>
      <c r="G62" s="6" t="s">
        <v>369</v>
      </c>
      <c r="H62" s="6" t="s">
        <v>370</v>
      </c>
      <c r="I62" s="35">
        <v>4</v>
      </c>
      <c r="J62" s="6" t="s">
        <v>499</v>
      </c>
      <c r="N62" s="21">
        <v>2</v>
      </c>
    </row>
    <row r="63" spans="1:14" x14ac:dyDescent="0.2">
      <c r="A63" s="6" t="s">
        <v>905</v>
      </c>
      <c r="C63" s="6" t="s">
        <v>905</v>
      </c>
      <c r="D63" s="49"/>
      <c r="E63" s="6" t="s">
        <v>51</v>
      </c>
      <c r="F63" s="6" t="s">
        <v>66</v>
      </c>
      <c r="G63" s="6" t="s">
        <v>369</v>
      </c>
      <c r="H63" s="6" t="s">
        <v>499</v>
      </c>
      <c r="I63" s="35">
        <v>4</v>
      </c>
      <c r="J63" s="6" t="s">
        <v>370</v>
      </c>
      <c r="N63" s="21">
        <v>3</v>
      </c>
    </row>
    <row r="64" spans="1:14" x14ac:dyDescent="0.2">
      <c r="A64" s="6" t="s">
        <v>906</v>
      </c>
      <c r="C64" s="6" t="s">
        <v>906</v>
      </c>
      <c r="D64" s="49"/>
      <c r="E64" s="6" t="s">
        <v>51</v>
      </c>
      <c r="F64" s="6" t="s">
        <v>66</v>
      </c>
      <c r="G64" s="6" t="s">
        <v>369</v>
      </c>
      <c r="H64" s="6" t="s">
        <v>370</v>
      </c>
      <c r="I64" s="35">
        <v>3</v>
      </c>
      <c r="J64" s="6" t="s">
        <v>370</v>
      </c>
      <c r="N64" s="21">
        <v>3</v>
      </c>
    </row>
    <row r="65" spans="1:14" x14ac:dyDescent="0.2">
      <c r="A65" s="6" t="s">
        <v>907</v>
      </c>
      <c r="C65" s="6" t="s">
        <v>907</v>
      </c>
      <c r="D65" s="49"/>
      <c r="E65" s="6" t="s">
        <v>51</v>
      </c>
      <c r="F65" s="6" t="s">
        <v>66</v>
      </c>
      <c r="G65" s="6" t="s">
        <v>369</v>
      </c>
      <c r="H65" s="6" t="s">
        <v>499</v>
      </c>
      <c r="I65" s="35">
        <v>2</v>
      </c>
      <c r="J65" s="6" t="s">
        <v>499</v>
      </c>
      <c r="N65" s="21">
        <v>1</v>
      </c>
    </row>
    <row r="66" spans="1:14" x14ac:dyDescent="0.2">
      <c r="B66" s="6" t="s">
        <v>908</v>
      </c>
      <c r="C66" s="6" t="s">
        <v>909</v>
      </c>
      <c r="D66" s="50"/>
      <c r="E66" s="6" t="s">
        <v>51</v>
      </c>
      <c r="F66" s="6" t="s">
        <v>66</v>
      </c>
      <c r="G66" s="6" t="s">
        <v>369</v>
      </c>
      <c r="H66" s="6" t="s">
        <v>370</v>
      </c>
      <c r="I66" s="35">
        <v>4</v>
      </c>
      <c r="J66" s="6" t="s">
        <v>499</v>
      </c>
      <c r="N66" s="21">
        <v>3</v>
      </c>
    </row>
    <row r="67" spans="1:14" s="8" customFormat="1" x14ac:dyDescent="0.2">
      <c r="A67" s="7" t="s">
        <v>910</v>
      </c>
      <c r="C67" s="7"/>
      <c r="G67" s="19"/>
      <c r="I67" s="34">
        <f>AVERAGE(I68:I72)</f>
        <v>2.8</v>
      </c>
      <c r="L67" s="15"/>
      <c r="N67" s="22" t="s">
        <v>911</v>
      </c>
    </row>
    <row r="68" spans="1:14" x14ac:dyDescent="0.2">
      <c r="A68" s="6" t="s">
        <v>912</v>
      </c>
      <c r="C68" s="6" t="s">
        <v>913</v>
      </c>
      <c r="D68" s="48" t="s">
        <v>914</v>
      </c>
      <c r="E68" s="6" t="s">
        <v>51</v>
      </c>
      <c r="F68" s="6" t="s">
        <v>66</v>
      </c>
      <c r="G68" s="6" t="s">
        <v>369</v>
      </c>
      <c r="H68" s="6" t="s">
        <v>499</v>
      </c>
      <c r="I68" s="35">
        <v>2</v>
      </c>
      <c r="J68" s="6" t="s">
        <v>499</v>
      </c>
      <c r="N68" s="21">
        <v>3</v>
      </c>
    </row>
    <row r="69" spans="1:14" x14ac:dyDescent="0.2">
      <c r="A69" s="6" t="s">
        <v>915</v>
      </c>
      <c r="C69" s="6" t="s">
        <v>915</v>
      </c>
      <c r="D69" s="49"/>
      <c r="E69" s="6" t="s">
        <v>51</v>
      </c>
      <c r="F69" s="6" t="s">
        <v>66</v>
      </c>
      <c r="G69" s="6" t="s">
        <v>369</v>
      </c>
      <c r="H69" s="6" t="s">
        <v>499</v>
      </c>
      <c r="I69" s="35">
        <v>3</v>
      </c>
      <c r="J69" s="6" t="s">
        <v>370</v>
      </c>
      <c r="N69" s="21">
        <v>3</v>
      </c>
    </row>
    <row r="70" spans="1:14" x14ac:dyDescent="0.2">
      <c r="A70" s="6" t="s">
        <v>916</v>
      </c>
      <c r="C70" s="6" t="s">
        <v>916</v>
      </c>
      <c r="D70" s="49"/>
      <c r="E70" s="6" t="s">
        <v>51</v>
      </c>
      <c r="F70" s="6" t="s">
        <v>52</v>
      </c>
      <c r="G70" s="6" t="s">
        <v>369</v>
      </c>
      <c r="H70" s="6" t="s">
        <v>499</v>
      </c>
      <c r="I70" s="35">
        <v>2</v>
      </c>
      <c r="J70" s="6" t="s">
        <v>499</v>
      </c>
      <c r="N70" s="21">
        <v>4</v>
      </c>
    </row>
    <row r="71" spans="1:14" x14ac:dyDescent="0.2">
      <c r="A71" s="6" t="s">
        <v>917</v>
      </c>
      <c r="C71" s="6" t="s">
        <v>917</v>
      </c>
      <c r="D71" s="49"/>
      <c r="E71" s="6" t="s">
        <v>51</v>
      </c>
      <c r="F71" s="6" t="s">
        <v>66</v>
      </c>
      <c r="G71" s="6" t="s">
        <v>369</v>
      </c>
      <c r="H71" s="6" t="s">
        <v>499</v>
      </c>
      <c r="I71" s="35">
        <v>3</v>
      </c>
      <c r="J71" s="6" t="s">
        <v>370</v>
      </c>
      <c r="N71" s="21">
        <v>4</v>
      </c>
    </row>
    <row r="72" spans="1:14" x14ac:dyDescent="0.2">
      <c r="B72" s="6" t="s">
        <v>918</v>
      </c>
      <c r="C72" s="6" t="s">
        <v>919</v>
      </c>
      <c r="D72" s="50"/>
      <c r="E72" s="6" t="s">
        <v>51</v>
      </c>
      <c r="F72" s="6" t="s">
        <v>66</v>
      </c>
      <c r="G72" s="6" t="s">
        <v>369</v>
      </c>
      <c r="H72" s="6" t="s">
        <v>499</v>
      </c>
      <c r="I72" s="35">
        <v>4</v>
      </c>
      <c r="J72" s="6" t="s">
        <v>370</v>
      </c>
      <c r="N72" s="21">
        <v>2</v>
      </c>
    </row>
    <row r="73" spans="1:14" s="8" customFormat="1" x14ac:dyDescent="0.2">
      <c r="A73" s="7" t="s">
        <v>920</v>
      </c>
      <c r="C73" s="7"/>
      <c r="F73" s="17"/>
      <c r="G73" s="18"/>
      <c r="I73" s="34">
        <f>AVERAGE(I74:I77)</f>
        <v>2</v>
      </c>
      <c r="L73" s="15"/>
      <c r="N73" s="22" t="s">
        <v>921</v>
      </c>
    </row>
    <row r="74" spans="1:14" x14ac:dyDescent="0.2">
      <c r="A74" s="6" t="s">
        <v>922</v>
      </c>
      <c r="C74" s="6" t="s">
        <v>922</v>
      </c>
      <c r="D74" s="48" t="s">
        <v>923</v>
      </c>
      <c r="E74" s="6" t="s">
        <v>51</v>
      </c>
      <c r="F74" s="6" t="s">
        <v>66</v>
      </c>
      <c r="G74" s="6" t="s">
        <v>369</v>
      </c>
      <c r="H74" s="6" t="s">
        <v>499</v>
      </c>
      <c r="I74" s="35">
        <v>1</v>
      </c>
      <c r="J74" s="6" t="s">
        <v>499</v>
      </c>
      <c r="N74" s="21">
        <v>4</v>
      </c>
    </row>
    <row r="75" spans="1:14" x14ac:dyDescent="0.2">
      <c r="A75" s="6" t="s">
        <v>924</v>
      </c>
      <c r="C75" s="6" t="s">
        <v>924</v>
      </c>
      <c r="D75" s="49"/>
      <c r="E75" s="6" t="s">
        <v>51</v>
      </c>
      <c r="F75" s="6" t="s">
        <v>52</v>
      </c>
      <c r="G75" s="6" t="s">
        <v>369</v>
      </c>
      <c r="H75" s="6" t="s">
        <v>499</v>
      </c>
      <c r="I75" s="35">
        <v>3</v>
      </c>
      <c r="J75" s="6" t="s">
        <v>499</v>
      </c>
      <c r="N75" s="21">
        <v>3</v>
      </c>
    </row>
    <row r="76" spans="1:14" x14ac:dyDescent="0.2">
      <c r="A76" s="6" t="s">
        <v>925</v>
      </c>
      <c r="C76" s="6" t="s">
        <v>925</v>
      </c>
      <c r="D76" s="49"/>
      <c r="E76" s="6" t="s">
        <v>51</v>
      </c>
      <c r="F76" s="6" t="s">
        <v>52</v>
      </c>
      <c r="G76" s="6" t="s">
        <v>369</v>
      </c>
      <c r="H76" s="6" t="s">
        <v>499</v>
      </c>
      <c r="I76" s="35">
        <v>3</v>
      </c>
      <c r="J76" s="6" t="s">
        <v>499</v>
      </c>
      <c r="N76" s="21">
        <v>2</v>
      </c>
    </row>
    <row r="77" spans="1:14" x14ac:dyDescent="0.2">
      <c r="A77" s="6" t="s">
        <v>926</v>
      </c>
      <c r="C77" s="6" t="s">
        <v>926</v>
      </c>
      <c r="D77" s="50"/>
      <c r="E77" s="6" t="s">
        <v>51</v>
      </c>
      <c r="F77" s="6" t="s">
        <v>66</v>
      </c>
      <c r="G77" s="6" t="s">
        <v>369</v>
      </c>
      <c r="H77" s="6" t="s">
        <v>499</v>
      </c>
      <c r="I77" s="35">
        <v>1</v>
      </c>
      <c r="J77" s="6" t="s">
        <v>499</v>
      </c>
      <c r="N77" s="21">
        <v>2</v>
      </c>
    </row>
  </sheetData>
  <mergeCells count="14">
    <mergeCell ref="D57:D60"/>
    <mergeCell ref="D74:D77"/>
    <mergeCell ref="D35:D39"/>
    <mergeCell ref="D41:D45"/>
    <mergeCell ref="D30:D33"/>
    <mergeCell ref="D47:D49"/>
    <mergeCell ref="D51:D55"/>
    <mergeCell ref="D62:D66"/>
    <mergeCell ref="D68:D72"/>
    <mergeCell ref="J1:K1"/>
    <mergeCell ref="D3:D7"/>
    <mergeCell ref="D9:D13"/>
    <mergeCell ref="D24:D28"/>
    <mergeCell ref="D15:D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891A-7B86-4AA4-8773-FF79942FDFD7}">
  <dimension ref="A1:C77"/>
  <sheetViews>
    <sheetView tabSelected="1" topLeftCell="A51" workbookViewId="0">
      <selection activeCell="D77" sqref="D77"/>
    </sheetView>
  </sheetViews>
  <sheetFormatPr defaultRowHeight="15.75" x14ac:dyDescent="0.25"/>
  <cols>
    <col min="1" max="1" width="76.25" style="6" bestFit="1" customWidth="1"/>
    <col min="2" max="2" width="9" style="21" bestFit="1" customWidth="1"/>
    <col min="3" max="3" width="12.75" style="21" bestFit="1" customWidth="1"/>
    <col min="5" max="5" width="65" bestFit="1" customWidth="1"/>
  </cols>
  <sheetData>
    <row r="1" spans="1:3" x14ac:dyDescent="0.25">
      <c r="A1" s="3" t="s">
        <v>38</v>
      </c>
      <c r="B1" s="5" t="s">
        <v>368</v>
      </c>
      <c r="C1" s="5" t="s">
        <v>552</v>
      </c>
    </row>
    <row r="2" spans="1:3" x14ac:dyDescent="0.25">
      <c r="A2" s="7" t="s">
        <v>815</v>
      </c>
      <c r="B2" s="22">
        <v>1</v>
      </c>
      <c r="C2" s="22" t="s">
        <v>499</v>
      </c>
    </row>
    <row r="3" spans="1:3" x14ac:dyDescent="0.25">
      <c r="A3" s="6" t="s">
        <v>816</v>
      </c>
      <c r="B3" s="21">
        <v>1</v>
      </c>
    </row>
    <row r="4" spans="1:3" x14ac:dyDescent="0.25">
      <c r="A4" s="6" t="s">
        <v>818</v>
      </c>
      <c r="B4" s="21">
        <v>1</v>
      </c>
    </row>
    <row r="5" spans="1:3" x14ac:dyDescent="0.25">
      <c r="A5" s="6" t="s">
        <v>819</v>
      </c>
      <c r="B5" s="21">
        <v>1</v>
      </c>
    </row>
    <row r="6" spans="1:3" x14ac:dyDescent="0.25">
      <c r="A6" s="6" t="s">
        <v>820</v>
      </c>
      <c r="B6" s="21">
        <v>1</v>
      </c>
      <c r="C6" s="21" t="s">
        <v>927</v>
      </c>
    </row>
    <row r="7" spans="1:3" x14ac:dyDescent="0.25">
      <c r="A7" s="6" t="s">
        <v>821</v>
      </c>
      <c r="B7" s="21">
        <v>1</v>
      </c>
    </row>
    <row r="8" spans="1:3" x14ac:dyDescent="0.25">
      <c r="A8" s="7" t="s">
        <v>822</v>
      </c>
      <c r="B8" s="22" t="s">
        <v>823</v>
      </c>
      <c r="C8" s="22" t="s">
        <v>499</v>
      </c>
    </row>
    <row r="9" spans="1:3" x14ac:dyDescent="0.25">
      <c r="A9" s="23" t="s">
        <v>824</v>
      </c>
      <c r="B9" s="21">
        <v>4</v>
      </c>
    </row>
    <row r="10" spans="1:3" x14ac:dyDescent="0.25">
      <c r="A10" s="23" t="s">
        <v>826</v>
      </c>
      <c r="B10" s="21">
        <v>4</v>
      </c>
    </row>
    <row r="11" spans="1:3" x14ac:dyDescent="0.25">
      <c r="A11" s="23" t="s">
        <v>827</v>
      </c>
      <c r="B11" s="21">
        <v>4</v>
      </c>
    </row>
    <row r="12" spans="1:3" x14ac:dyDescent="0.25">
      <c r="A12" s="23" t="s">
        <v>828</v>
      </c>
      <c r="B12" s="21">
        <v>4</v>
      </c>
    </row>
    <row r="13" spans="1:3" x14ac:dyDescent="0.25">
      <c r="A13" s="23" t="s">
        <v>829</v>
      </c>
      <c r="B13" s="21">
        <v>3</v>
      </c>
    </row>
    <row r="14" spans="1:3" x14ac:dyDescent="0.25">
      <c r="A14" s="7" t="s">
        <v>831</v>
      </c>
      <c r="B14" s="22" t="s">
        <v>832</v>
      </c>
      <c r="C14" s="22"/>
    </row>
    <row r="15" spans="1:3" x14ac:dyDescent="0.25">
      <c r="A15" s="13" t="s">
        <v>833</v>
      </c>
      <c r="B15" s="21">
        <v>4</v>
      </c>
    </row>
    <row r="16" spans="1:3" x14ac:dyDescent="0.25">
      <c r="A16" s="13" t="s">
        <v>835</v>
      </c>
      <c r="B16" s="21">
        <v>2</v>
      </c>
    </row>
    <row r="17" spans="1:3" x14ac:dyDescent="0.25">
      <c r="A17" s="13" t="s">
        <v>836</v>
      </c>
      <c r="B17" s="21">
        <v>2</v>
      </c>
    </row>
    <row r="18" spans="1:3" x14ac:dyDescent="0.25">
      <c r="A18" s="13" t="s">
        <v>838</v>
      </c>
      <c r="B18" s="21">
        <v>3</v>
      </c>
    </row>
    <row r="19" spans="1:3" x14ac:dyDescent="0.25">
      <c r="A19" s="13" t="s">
        <v>839</v>
      </c>
      <c r="B19" s="21">
        <v>3</v>
      </c>
    </row>
    <row r="20" spans="1:3" x14ac:dyDescent="0.25">
      <c r="A20" s="13" t="s">
        <v>840</v>
      </c>
      <c r="B20" s="21">
        <v>4</v>
      </c>
    </row>
    <row r="21" spans="1:3" x14ac:dyDescent="0.25">
      <c r="A21" s="13" t="s">
        <v>842</v>
      </c>
      <c r="B21" s="21">
        <v>4</v>
      </c>
    </row>
    <row r="22" spans="1:3" x14ac:dyDescent="0.25">
      <c r="A22" s="13" t="s">
        <v>844</v>
      </c>
      <c r="B22" s="21">
        <v>3</v>
      </c>
    </row>
    <row r="23" spans="1:3" x14ac:dyDescent="0.25">
      <c r="A23" s="7" t="s">
        <v>845</v>
      </c>
      <c r="B23" s="22" t="s">
        <v>846</v>
      </c>
      <c r="C23" s="22" t="s">
        <v>499</v>
      </c>
    </row>
    <row r="24" spans="1:3" x14ac:dyDescent="0.25">
      <c r="A24" s="6" t="s">
        <v>847</v>
      </c>
      <c r="B24" s="21">
        <v>4</v>
      </c>
    </row>
    <row r="25" spans="1:3" x14ac:dyDescent="0.25">
      <c r="A25" s="6" t="s">
        <v>849</v>
      </c>
      <c r="B25" s="21">
        <v>2</v>
      </c>
    </row>
    <row r="26" spans="1:3" x14ac:dyDescent="0.25">
      <c r="A26" s="6" t="s">
        <v>850</v>
      </c>
      <c r="B26" s="21">
        <v>2</v>
      </c>
    </row>
    <row r="27" spans="1:3" x14ac:dyDescent="0.25">
      <c r="A27" s="6" t="s">
        <v>851</v>
      </c>
      <c r="B27" s="21">
        <v>1</v>
      </c>
    </row>
    <row r="28" spans="1:3" x14ac:dyDescent="0.25">
      <c r="A28" s="6" t="s">
        <v>852</v>
      </c>
      <c r="B28" s="21">
        <v>2</v>
      </c>
    </row>
    <row r="29" spans="1:3" x14ac:dyDescent="0.25">
      <c r="A29" s="7" t="s">
        <v>853</v>
      </c>
      <c r="B29" s="22">
        <v>3</v>
      </c>
      <c r="C29" s="22" t="s">
        <v>499</v>
      </c>
    </row>
    <row r="30" spans="1:3" x14ac:dyDescent="0.25">
      <c r="A30" s="6" t="s">
        <v>855</v>
      </c>
      <c r="B30" s="21">
        <v>3</v>
      </c>
    </row>
    <row r="31" spans="1:3" x14ac:dyDescent="0.25">
      <c r="A31" s="6" t="s">
        <v>858</v>
      </c>
      <c r="B31" s="21">
        <v>2</v>
      </c>
    </row>
    <row r="32" spans="1:3" x14ac:dyDescent="0.25">
      <c r="A32" s="6" t="s">
        <v>859</v>
      </c>
      <c r="B32" s="21">
        <v>4</v>
      </c>
    </row>
    <row r="33" spans="1:3" x14ac:dyDescent="0.25">
      <c r="A33" s="6" t="s">
        <v>861</v>
      </c>
      <c r="B33" s="21">
        <v>2</v>
      </c>
    </row>
    <row r="34" spans="1:3" x14ac:dyDescent="0.25">
      <c r="A34" s="7" t="s">
        <v>862</v>
      </c>
      <c r="B34" s="22" t="s">
        <v>863</v>
      </c>
      <c r="C34" s="22"/>
    </row>
    <row r="35" spans="1:3" x14ac:dyDescent="0.25">
      <c r="A35" s="6" t="s">
        <v>864</v>
      </c>
      <c r="B35" s="21">
        <v>4</v>
      </c>
    </row>
    <row r="36" spans="1:3" x14ac:dyDescent="0.25">
      <c r="A36" s="6" t="s">
        <v>866</v>
      </c>
      <c r="B36" s="21">
        <v>3</v>
      </c>
    </row>
    <row r="37" spans="1:3" x14ac:dyDescent="0.25">
      <c r="A37" s="6" t="s">
        <v>867</v>
      </c>
      <c r="B37" s="21">
        <v>3</v>
      </c>
    </row>
    <row r="38" spans="1:3" x14ac:dyDescent="0.25">
      <c r="A38" s="6" t="s">
        <v>869</v>
      </c>
      <c r="B38" s="21">
        <v>2</v>
      </c>
    </row>
    <row r="39" spans="1:3" x14ac:dyDescent="0.25">
      <c r="A39" s="6" t="s">
        <v>870</v>
      </c>
      <c r="B39" s="21">
        <v>1</v>
      </c>
    </row>
    <row r="40" spans="1:3" x14ac:dyDescent="0.25">
      <c r="A40" s="7" t="s">
        <v>871</v>
      </c>
      <c r="B40" s="22" t="s">
        <v>863</v>
      </c>
      <c r="C40" s="22" t="s">
        <v>499</v>
      </c>
    </row>
    <row r="41" spans="1:3" x14ac:dyDescent="0.25">
      <c r="A41" s="6" t="s">
        <v>872</v>
      </c>
      <c r="B41" s="21">
        <v>3</v>
      </c>
    </row>
    <row r="42" spans="1:3" x14ac:dyDescent="0.25">
      <c r="A42" s="6" t="s">
        <v>874</v>
      </c>
      <c r="B42" s="21">
        <v>2</v>
      </c>
    </row>
    <row r="43" spans="1:3" x14ac:dyDescent="0.25">
      <c r="A43" s="6" t="s">
        <v>875</v>
      </c>
      <c r="B43" s="21">
        <v>2</v>
      </c>
    </row>
    <row r="44" spans="1:3" x14ac:dyDescent="0.25">
      <c r="A44" s="6" t="s">
        <v>876</v>
      </c>
      <c r="B44" s="21">
        <v>3</v>
      </c>
    </row>
    <row r="45" spans="1:3" x14ac:dyDescent="0.25">
      <c r="A45" s="6" t="s">
        <v>877</v>
      </c>
      <c r="B45" s="21">
        <v>3</v>
      </c>
    </row>
    <row r="46" spans="1:3" x14ac:dyDescent="0.25">
      <c r="A46" s="7" t="s">
        <v>878</v>
      </c>
      <c r="B46" s="22">
        <v>4</v>
      </c>
      <c r="C46" s="22" t="s">
        <v>499</v>
      </c>
    </row>
    <row r="47" spans="1:3" x14ac:dyDescent="0.25">
      <c r="A47" s="6" t="s">
        <v>879</v>
      </c>
      <c r="B47" s="21">
        <v>4</v>
      </c>
    </row>
    <row r="48" spans="1:3" x14ac:dyDescent="0.25">
      <c r="A48" s="6" t="s">
        <v>881</v>
      </c>
      <c r="B48" s="21">
        <v>4</v>
      </c>
    </row>
    <row r="49" spans="1:3" x14ac:dyDescent="0.25">
      <c r="A49" s="6" t="s">
        <v>882</v>
      </c>
      <c r="B49" s="21">
        <v>4</v>
      </c>
    </row>
    <row r="50" spans="1:3" x14ac:dyDescent="0.25">
      <c r="A50" s="7" t="s">
        <v>883</v>
      </c>
      <c r="B50" s="22" t="s">
        <v>884</v>
      </c>
      <c r="C50" s="22"/>
    </row>
    <row r="51" spans="1:3" x14ac:dyDescent="0.25">
      <c r="A51" s="6" t="s">
        <v>885</v>
      </c>
      <c r="B51" s="21">
        <v>2</v>
      </c>
    </row>
    <row r="52" spans="1:3" x14ac:dyDescent="0.25">
      <c r="A52" s="6" t="s">
        <v>887</v>
      </c>
      <c r="B52" s="21">
        <v>3</v>
      </c>
    </row>
    <row r="53" spans="1:3" x14ac:dyDescent="0.25">
      <c r="A53" s="6" t="s">
        <v>888</v>
      </c>
      <c r="B53" s="21">
        <v>4</v>
      </c>
    </row>
    <row r="54" spans="1:3" x14ac:dyDescent="0.25">
      <c r="A54" s="6" t="s">
        <v>889</v>
      </c>
      <c r="B54" s="21">
        <v>2</v>
      </c>
    </row>
    <row r="55" spans="1:3" x14ac:dyDescent="0.25">
      <c r="A55" s="6" t="s">
        <v>892</v>
      </c>
      <c r="B55" s="21">
        <v>3</v>
      </c>
    </row>
    <row r="56" spans="1:3" x14ac:dyDescent="0.25">
      <c r="A56" s="7" t="s">
        <v>893</v>
      </c>
      <c r="B56" s="22" t="s">
        <v>894</v>
      </c>
      <c r="C56" s="22"/>
    </row>
    <row r="57" spans="1:3" x14ac:dyDescent="0.25">
      <c r="A57" s="6" t="s">
        <v>895</v>
      </c>
      <c r="B57" s="21">
        <v>4</v>
      </c>
    </row>
    <row r="58" spans="1:3" x14ac:dyDescent="0.25">
      <c r="A58" s="6" t="s">
        <v>898</v>
      </c>
      <c r="B58" s="21">
        <v>1</v>
      </c>
    </row>
    <row r="59" spans="1:3" x14ac:dyDescent="0.25">
      <c r="A59" s="6" t="s">
        <v>899</v>
      </c>
      <c r="B59" s="21">
        <v>2</v>
      </c>
    </row>
    <row r="60" spans="1:3" x14ac:dyDescent="0.25">
      <c r="A60" s="6" t="s">
        <v>900</v>
      </c>
      <c r="B60" s="21">
        <v>3</v>
      </c>
    </row>
    <row r="61" spans="1:3" x14ac:dyDescent="0.25">
      <c r="A61" s="7" t="s">
        <v>901</v>
      </c>
      <c r="B61" s="22" t="s">
        <v>902</v>
      </c>
      <c r="C61" s="22" t="s">
        <v>499</v>
      </c>
    </row>
    <row r="62" spans="1:3" x14ac:dyDescent="0.25">
      <c r="A62" s="6" t="s">
        <v>903</v>
      </c>
      <c r="B62" s="21">
        <v>2</v>
      </c>
    </row>
    <row r="63" spans="1:3" x14ac:dyDescent="0.25">
      <c r="A63" s="6" t="s">
        <v>905</v>
      </c>
      <c r="B63" s="21">
        <v>3</v>
      </c>
    </row>
    <row r="64" spans="1:3" x14ac:dyDescent="0.25">
      <c r="A64" s="6" t="s">
        <v>906</v>
      </c>
      <c r="B64" s="21">
        <v>3</v>
      </c>
    </row>
    <row r="65" spans="1:3" x14ac:dyDescent="0.25">
      <c r="A65" s="6" t="s">
        <v>907</v>
      </c>
      <c r="B65" s="21">
        <v>1</v>
      </c>
    </row>
    <row r="66" spans="1:3" x14ac:dyDescent="0.25">
      <c r="A66" s="6" t="s">
        <v>909</v>
      </c>
      <c r="B66" s="21">
        <v>3</v>
      </c>
    </row>
    <row r="67" spans="1:3" x14ac:dyDescent="0.25">
      <c r="A67" s="7" t="s">
        <v>910</v>
      </c>
      <c r="B67" s="22" t="s">
        <v>911</v>
      </c>
      <c r="C67" s="22" t="s">
        <v>499</v>
      </c>
    </row>
    <row r="68" spans="1:3" x14ac:dyDescent="0.25">
      <c r="A68" s="6" t="s">
        <v>913</v>
      </c>
      <c r="B68" s="21">
        <v>3</v>
      </c>
    </row>
    <row r="69" spans="1:3" x14ac:dyDescent="0.25">
      <c r="A69" s="6" t="s">
        <v>915</v>
      </c>
      <c r="B69" s="21">
        <v>3</v>
      </c>
    </row>
    <row r="70" spans="1:3" x14ac:dyDescent="0.25">
      <c r="A70" s="6" t="s">
        <v>916</v>
      </c>
      <c r="B70" s="21">
        <v>4</v>
      </c>
    </row>
    <row r="71" spans="1:3" x14ac:dyDescent="0.25">
      <c r="A71" s="6" t="s">
        <v>917</v>
      </c>
      <c r="B71" s="21">
        <v>4</v>
      </c>
    </row>
    <row r="72" spans="1:3" x14ac:dyDescent="0.25">
      <c r="A72" s="6" t="s">
        <v>919</v>
      </c>
      <c r="B72" s="21">
        <v>2</v>
      </c>
    </row>
    <row r="73" spans="1:3" x14ac:dyDescent="0.25">
      <c r="A73" s="7" t="s">
        <v>920</v>
      </c>
      <c r="B73" s="22" t="s">
        <v>921</v>
      </c>
      <c r="C73" s="22" t="s">
        <v>499</v>
      </c>
    </row>
    <row r="74" spans="1:3" x14ac:dyDescent="0.25">
      <c r="A74" s="6" t="s">
        <v>922</v>
      </c>
      <c r="B74" s="21">
        <v>4</v>
      </c>
    </row>
    <row r="75" spans="1:3" x14ac:dyDescent="0.25">
      <c r="A75" s="6" t="s">
        <v>924</v>
      </c>
      <c r="B75" s="21">
        <v>3</v>
      </c>
    </row>
    <row r="76" spans="1:3" x14ac:dyDescent="0.25">
      <c r="A76" s="6" t="s">
        <v>925</v>
      </c>
      <c r="B76" s="21">
        <v>2</v>
      </c>
    </row>
    <row r="77" spans="1:3" x14ac:dyDescent="0.25">
      <c r="A77" s="6" t="s">
        <v>926</v>
      </c>
      <c r="B77" s="2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6A23D39D639449A201A4D30273B702" ma:contentTypeVersion="6" ma:contentTypeDescription="Criar um novo documento." ma:contentTypeScope="" ma:versionID="365bed8e72ba528fdb397d53e50b49ce">
  <xsd:schema xmlns:xsd="http://www.w3.org/2001/XMLSchema" xmlns:xs="http://www.w3.org/2001/XMLSchema" xmlns:p="http://schemas.microsoft.com/office/2006/metadata/properties" xmlns:ns3="b511d496-d667-453a-aaf0-2de8d4ad98d5" targetNamespace="http://schemas.microsoft.com/office/2006/metadata/properties" ma:root="true" ma:fieldsID="e5151782e72afb0ed4526b4f268f6e8e" ns3:_="">
    <xsd:import namespace="b511d496-d667-453a-aaf0-2de8d4ad98d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1d496-d667-453a-aaf0-2de8d4ad98d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11d496-d667-453a-aaf0-2de8d4ad98d5" xsi:nil="true"/>
  </documentManagement>
</p:properties>
</file>

<file path=customXml/itemProps1.xml><?xml version="1.0" encoding="utf-8"?>
<ds:datastoreItem xmlns:ds="http://schemas.openxmlformats.org/officeDocument/2006/customXml" ds:itemID="{785FAE1A-9EDC-497A-85CF-30895F5C1E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1d496-d667-453a-aaf0-2de8d4ad98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548092-3A26-4FA6-B00A-D1C55A010E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3B4400-C528-4A29-838C-3D528929F269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b511d496-d667-453a-aaf0-2de8d4ad98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Grupos e Características</vt:lpstr>
      <vt:lpstr>Representativas</vt:lpstr>
      <vt:lpstr>Consultor</vt:lpstr>
      <vt:lpstr>Con Tarefas Representativas</vt:lpstr>
      <vt:lpstr>Service Line</vt:lpstr>
      <vt:lpstr>SL Tarefas Representativas</vt:lpstr>
      <vt:lpstr>Talent Manager</vt:lpstr>
      <vt:lpstr>TM Tarefas Representativas</vt:lpstr>
      <vt:lpstr>Administrador Gestor</vt:lpstr>
      <vt:lpstr>AG Tarefas Representativas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Pedro Duarte</dc:creator>
  <cp:keywords/>
  <dc:description/>
  <cp:lastModifiedBy>Hugo Alexandre Pereira Afonso</cp:lastModifiedBy>
  <cp:revision/>
  <dcterms:created xsi:type="dcterms:W3CDTF">2012-04-30T11:33:19Z</dcterms:created>
  <dcterms:modified xsi:type="dcterms:W3CDTF">2026-01-28T21:26:15Z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0x010100126A23D39D639449A201A4D30273B702</vt:lpwstr>
  </property>
</Properties>
</file>